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D2181561-B3C8-429F-B8FF-AA45EFE116EB}" xr6:coauthVersionLast="47" xr6:coauthVersionMax="47" xr10:uidLastSave="{00000000-0000-0000-0000-000000000000}"/>
  <bookViews>
    <workbookView xWindow="-108" yWindow="-108" windowWidth="23256" windowHeight="12456" xr2:uid="{271145CF-B598-4AD4-8A91-746A3795761F}"/>
  </bookViews>
  <sheets>
    <sheet name="Revision2 xlookup" sheetId="9" r:id="rId1"/>
    <sheet name="Index , match Definition" sheetId="2" r:id="rId2"/>
    <sheet name="Example1" sheetId="1" r:id="rId3"/>
    <sheet name="Sheet1" sheetId="10" r:id="rId4"/>
    <sheet name="Example2" sheetId="3" r:id="rId5"/>
    <sheet name="Example3" sheetId="6" r:id="rId6"/>
  </sheets>
  <definedNames>
    <definedName name="Mytable">Example2!$A$1:$E$10</definedName>
    <definedName name="Table1">Example3!$A$1:$F$7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" i="9" l="1"/>
  <c r="I51" i="9"/>
  <c r="I65" i="9"/>
  <c r="I66" i="9"/>
  <c r="I55" i="9"/>
  <c r="I73" i="2"/>
  <c r="I61" i="2"/>
  <c r="I66" i="2"/>
  <c r="I54" i="2"/>
  <c r="L6" i="3"/>
  <c r="M22" i="1"/>
  <c r="F22" i="1"/>
  <c r="J24" i="1"/>
  <c r="I57" i="9"/>
  <c r="I62" i="9"/>
  <c r="I6" i="3"/>
  <c r="I4" i="3"/>
  <c r="I5" i="3"/>
  <c r="I49" i="9"/>
  <c r="H7" i="1"/>
  <c r="H6" i="1"/>
  <c r="G6" i="1"/>
  <c r="M24" i="1"/>
  <c r="M23" i="1"/>
  <c r="F24" i="1"/>
  <c r="F23" i="1"/>
  <c r="G12" i="1"/>
  <c r="G3" i="1"/>
  <c r="F25" i="10"/>
  <c r="F24" i="10"/>
  <c r="G12" i="10"/>
  <c r="H7" i="10"/>
  <c r="H6" i="10"/>
  <c r="G6" i="10"/>
  <c r="R4" i="10"/>
  <c r="G3" i="10"/>
  <c r="I50" i="9"/>
  <c r="J43" i="9"/>
  <c r="I68" i="9"/>
  <c r="I54" i="9"/>
  <c r="I58" i="9"/>
  <c r="I53" i="9"/>
  <c r="J45" i="9"/>
  <c r="J46" i="9"/>
  <c r="J44" i="9"/>
  <c r="E88" i="2"/>
  <c r="E84" i="2"/>
  <c r="I55" i="2"/>
  <c r="I56" i="2"/>
  <c r="I52" i="2"/>
  <c r="D120" i="2"/>
  <c r="D118" i="2"/>
  <c r="J6" i="2"/>
  <c r="J9" i="2"/>
  <c r="J5" i="2"/>
  <c r="F25" i="1"/>
  <c r="I59" i="2"/>
  <c r="G15" i="2"/>
  <c r="G16" i="2"/>
  <c r="G19" i="2"/>
  <c r="G18" i="2"/>
  <c r="R4" i="1"/>
  <c r="G49" i="2"/>
  <c r="B27" i="2" l="1"/>
</calcChain>
</file>

<file path=xl/sharedStrings.xml><?xml version="1.0" encoding="utf-8"?>
<sst xmlns="http://schemas.openxmlformats.org/spreadsheetml/2006/main" count="659" uniqueCount="211">
  <si>
    <t>Name</t>
  </si>
  <si>
    <t>Jan</t>
  </si>
  <si>
    <t>Feb</t>
  </si>
  <si>
    <t>Mar</t>
  </si>
  <si>
    <t>Aman</t>
  </si>
  <si>
    <t>$11,882</t>
  </si>
  <si>
    <t>$11,519</t>
  </si>
  <si>
    <t>$7,565</t>
  </si>
  <si>
    <t>Kim</t>
  </si>
  <si>
    <t>$11,676</t>
  </si>
  <si>
    <t>$6,518</t>
  </si>
  <si>
    <t>$5,406</t>
  </si>
  <si>
    <t>Jeo</t>
  </si>
  <si>
    <t>$10,296</t>
  </si>
  <si>
    <t>$9,655</t>
  </si>
  <si>
    <t>$11,826</t>
  </si>
  <si>
    <t>Leo</t>
  </si>
  <si>
    <t>$4,752</t>
  </si>
  <si>
    <t>$6,786</t>
  </si>
  <si>
    <t>$12,560</t>
  </si>
  <si>
    <t>Bunny</t>
  </si>
  <si>
    <t>$10,699</t>
  </si>
  <si>
    <t>$5,194</t>
  </si>
  <si>
    <t>$10,523</t>
  </si>
  <si>
    <t>Sami</t>
  </si>
  <si>
    <t>$10,404</t>
  </si>
  <si>
    <t>$8,487</t>
  </si>
  <si>
    <t>$8,902</t>
  </si>
  <si>
    <t>Sita</t>
  </si>
  <si>
    <t>$11,841</t>
  </si>
  <si>
    <t>$4,689</t>
  </si>
  <si>
    <t>$10,992</t>
  </si>
  <si>
    <t>Renu</t>
  </si>
  <si>
    <t>$5,259</t>
  </si>
  <si>
    <t>$3,900</t>
  </si>
  <si>
    <t>$7,845</t>
  </si>
  <si>
    <t>Ram</t>
  </si>
  <si>
    <t>$6,364</t>
  </si>
  <si>
    <t>$6,183</t>
  </si>
  <si>
    <t>$4,759</t>
  </si>
  <si>
    <t>Month</t>
  </si>
  <si>
    <t>Sales</t>
  </si>
  <si>
    <t>Position No.</t>
  </si>
  <si>
    <r>
      <t xml:space="preserve">In Excel, the </t>
    </r>
    <r>
      <rPr>
        <b/>
        <sz val="15"/>
        <color theme="1"/>
        <rFont val="Calibri"/>
        <family val="2"/>
        <scheme val="minor"/>
      </rPr>
      <t>MATCH</t>
    </r>
    <r>
      <rPr>
        <sz val="15"/>
        <color theme="1"/>
        <rFont val="Calibri"/>
        <family val="2"/>
        <scheme val="minor"/>
      </rPr>
      <t xml:space="preserve"> formula is used to find the position of a value in a row or column. It returns the relative position of the value in the array.</t>
    </r>
  </si>
  <si>
    <t>=MATCH(lookup_value, lookup_array, [match_type])</t>
  </si>
  <si>
    <r>
      <t>lookup_value</t>
    </r>
    <r>
      <rPr>
        <sz val="11"/>
        <color theme="1"/>
        <rFont val="Calibri"/>
        <family val="2"/>
        <scheme val="minor"/>
      </rPr>
      <t>: The value you want to find.</t>
    </r>
  </si>
  <si>
    <r>
      <t>lookup_array</t>
    </r>
    <r>
      <rPr>
        <sz val="11"/>
        <color theme="1"/>
        <rFont val="Calibri"/>
        <family val="2"/>
        <scheme val="minor"/>
      </rPr>
      <t>: The range of cells where you want to search for the value.</t>
    </r>
  </si>
  <si>
    <r>
      <t>match_type</t>
    </r>
    <r>
      <rPr>
        <sz val="11"/>
        <color theme="1"/>
        <rFont val="Calibri"/>
        <family val="2"/>
        <scheme val="minor"/>
      </rPr>
      <t xml:space="preserve"> (optional):</t>
    </r>
  </si>
  <si>
    <r>
      <t>1</t>
    </r>
    <r>
      <rPr>
        <sz val="11"/>
        <color theme="1"/>
        <rFont val="Calibri"/>
        <family val="2"/>
        <scheme val="minor"/>
      </rPr>
      <t xml:space="preserve"> (default): Finds the largest value less than or equal to the lookup_value (array must be sorted in ascending order).</t>
    </r>
  </si>
  <si>
    <r>
      <t>0</t>
    </r>
    <r>
      <rPr>
        <sz val="11"/>
        <color theme="1"/>
        <rFont val="Calibri"/>
        <family val="2"/>
        <scheme val="minor"/>
      </rPr>
      <t>: Finds the exact match (array can be in any order).</t>
    </r>
  </si>
  <si>
    <r>
      <t>-1</t>
    </r>
    <r>
      <rPr>
        <sz val="11"/>
        <color theme="1"/>
        <rFont val="Calibri"/>
        <family val="2"/>
        <scheme val="minor"/>
      </rPr>
      <t>: Finds the smallest value greater than or equal to the lookup_value (array must be sorted in descending order).</t>
    </r>
  </si>
  <si>
    <t xml:space="preserve">Vertical list </t>
  </si>
  <si>
    <t>Column Header</t>
  </si>
  <si>
    <t>Course</t>
  </si>
  <si>
    <t>Chetana</t>
  </si>
  <si>
    <t>Mohak</t>
  </si>
  <si>
    <t>Mayuri</t>
  </si>
  <si>
    <t>joining Date</t>
  </si>
  <si>
    <t>AI</t>
  </si>
  <si>
    <t>DS</t>
  </si>
  <si>
    <t>DA</t>
  </si>
  <si>
    <t>Sahil</t>
  </si>
  <si>
    <t>Trupti</t>
  </si>
  <si>
    <t>Gargi</t>
  </si>
  <si>
    <t>Aditya</t>
  </si>
  <si>
    <t>Python</t>
  </si>
  <si>
    <t>March 11, 2025</t>
  </si>
  <si>
    <t>April 5, 2024</t>
  </si>
  <si>
    <t>August 19, 2026</t>
  </si>
  <si>
    <t>January 30, 2023</t>
  </si>
  <si>
    <t>June 14, 2027</t>
  </si>
  <si>
    <t>December 7, 2024</t>
  </si>
  <si>
    <t>September 2, 2025</t>
  </si>
  <si>
    <t>Level</t>
  </si>
  <si>
    <t>Bonus</t>
  </si>
  <si>
    <t>Year</t>
  </si>
  <si>
    <t>Gold</t>
  </si>
  <si>
    <t>Platinum</t>
  </si>
  <si>
    <t>Silver</t>
  </si>
  <si>
    <t>Kiran</t>
  </si>
  <si>
    <t>Suraj</t>
  </si>
  <si>
    <t>Naveen</t>
  </si>
  <si>
    <t>Bala</t>
  </si>
  <si>
    <t>Apr</t>
  </si>
  <si>
    <t>May</t>
  </si>
  <si>
    <t>Jun</t>
  </si>
  <si>
    <t>Syntax of index= ==&gt;index(table array,row num,col num</t>
  </si>
  <si>
    <t>Syntax of match===&gt;match(lookup value,lookup array,match type)</t>
  </si>
  <si>
    <r>
      <t xml:space="preserve">In Excel, the </t>
    </r>
    <r>
      <rPr>
        <b/>
        <sz val="15"/>
        <color theme="1"/>
        <rFont val="Calibri"/>
        <family val="2"/>
        <scheme val="minor"/>
      </rPr>
      <t>INDEX</t>
    </r>
    <r>
      <rPr>
        <sz val="15"/>
        <color theme="1"/>
        <rFont val="Calibri"/>
        <family val="2"/>
        <scheme val="minor"/>
      </rPr>
      <t xml:space="preserve"> function is used to </t>
    </r>
    <r>
      <rPr>
        <b/>
        <sz val="15"/>
        <color theme="1"/>
        <rFont val="Calibri"/>
        <family val="2"/>
        <scheme val="minor"/>
      </rPr>
      <t>return the value of a cell</t>
    </r>
    <r>
      <rPr>
        <sz val="15"/>
        <color theme="1"/>
        <rFont val="Calibri"/>
        <family val="2"/>
        <scheme val="minor"/>
      </rPr>
      <t xml:space="preserve"> at a specific row and column within a range or array. It’s super useful when you want to pull data dynamically!</t>
    </r>
  </si>
  <si>
    <r>
      <t xml:space="preserve">If you want to fetch data from </t>
    </r>
    <r>
      <rPr>
        <i/>
        <sz val="11"/>
        <color theme="1"/>
        <rFont val="Calibri"/>
        <family val="2"/>
        <scheme val="minor"/>
      </rPr>
      <t>any</t>
    </r>
    <r>
      <rPr>
        <sz val="11"/>
        <color theme="1"/>
        <rFont val="Calibri"/>
        <family val="2"/>
        <scheme val="minor"/>
      </rPr>
      <t xml:space="preserve"> direction (not just to the right, like VLOOKUP), INDEX is more flexible.</t>
    </r>
  </si>
  <si>
    <t>Age</t>
  </si>
  <si>
    <t>Gender</t>
  </si>
  <si>
    <t>Position</t>
  </si>
  <si>
    <t>Salary</t>
  </si>
  <si>
    <t>Aniruddha Kale</t>
  </si>
  <si>
    <t>Male</t>
  </si>
  <si>
    <t>Aslam Raza</t>
  </si>
  <si>
    <t>Female</t>
  </si>
  <si>
    <t>Finance</t>
  </si>
  <si>
    <t>Roshan Zameer</t>
  </si>
  <si>
    <t>Operations</t>
  </si>
  <si>
    <t>Rakesh Sharma</t>
  </si>
  <si>
    <t>Shivanand Sahani</t>
  </si>
  <si>
    <t>Product Manager</t>
  </si>
  <si>
    <t>Kuntal Patra</t>
  </si>
  <si>
    <t>Data Scientist</t>
  </si>
  <si>
    <t>Bijendra Singh</t>
  </si>
  <si>
    <t>Kranti Bheke</t>
  </si>
  <si>
    <t>Marketing</t>
  </si>
  <si>
    <t>Vipin Paward</t>
  </si>
  <si>
    <t>Adhir Samal</t>
  </si>
  <si>
    <t>Dannana Jhammi</t>
  </si>
  <si>
    <t>Vipin Kumar</t>
  </si>
  <si>
    <t>Ranjeet Kumar</t>
  </si>
  <si>
    <t>HR</t>
  </si>
  <si>
    <t>Sajal Singhal</t>
  </si>
  <si>
    <t>Akhilesh Kumar</t>
  </si>
  <si>
    <t>Suvankar Chakraborty</t>
  </si>
  <si>
    <t>Software Engineer</t>
  </si>
  <si>
    <t>Suvankar Adhikary</t>
  </si>
  <si>
    <t>Support</t>
  </si>
  <si>
    <t>find sales of Sita in March</t>
  </si>
  <si>
    <t>Using Vlookup</t>
  </si>
  <si>
    <t>Name(lookup value)</t>
  </si>
  <si>
    <t>Q1</t>
  </si>
  <si>
    <r>
      <t xml:space="preserve">find the </t>
    </r>
    <r>
      <rPr>
        <b/>
        <sz val="11"/>
        <color theme="1"/>
        <rFont val="Calibri"/>
        <family val="2"/>
        <scheme val="minor"/>
      </rPr>
      <t>Position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"Aniruddha Kale"</t>
    </r>
  </si>
  <si>
    <t>ans</t>
  </si>
  <si>
    <t>Using xlookup</t>
  </si>
  <si>
    <t>If not Found</t>
  </si>
  <si>
    <t>Q2</t>
  </si>
  <si>
    <t>Find the salary of the employee whose position is "Product Manager".</t>
  </si>
  <si>
    <t>Q3</t>
  </si>
  <si>
    <t>Find the name of the employee earning a salary of 150145.</t>
  </si>
  <si>
    <t>Q4</t>
  </si>
  <si>
    <t>Find the salary of the last person in the "Sales" position.</t>
  </si>
  <si>
    <t xml:space="preserve">Sales </t>
  </si>
  <si>
    <t>Combining INDEX and MATCH (Why it’s better than VLOOKUP!)</t>
  </si>
  <si>
    <t>Why use them together?</t>
  </si>
  <si>
    <r>
      <t>INDEX</t>
    </r>
    <r>
      <rPr>
        <sz val="11"/>
        <color theme="1"/>
        <rFont val="Calibri"/>
        <family val="2"/>
        <scheme val="minor"/>
      </rPr>
      <t xml:space="preserve"> gets a value, and </t>
    </r>
    <r>
      <rPr>
        <b/>
        <sz val="11"/>
        <color theme="1"/>
        <rFont val="Calibri"/>
        <family val="2"/>
        <scheme val="minor"/>
      </rPr>
      <t>MATCH</t>
    </r>
    <r>
      <rPr>
        <sz val="11"/>
        <color theme="1"/>
        <rFont val="Calibri"/>
        <family val="2"/>
        <scheme val="minor"/>
      </rPr>
      <t xml:space="preserve"> finds the row number.</t>
    </r>
  </si>
  <si>
    <r>
      <t xml:space="preserve">Together, they work like a </t>
    </r>
    <r>
      <rPr>
        <b/>
        <sz val="11"/>
        <color theme="1"/>
        <rFont val="Calibri"/>
        <family val="2"/>
        <scheme val="minor"/>
      </rPr>
      <t>flexible VLOOKUP</t>
    </r>
    <r>
      <rPr>
        <sz val="11"/>
        <color theme="1"/>
        <rFont val="Calibri"/>
        <family val="2"/>
        <scheme val="minor"/>
      </rPr>
      <t xml:space="preserve"> but can look </t>
    </r>
    <r>
      <rPr>
        <b/>
        <sz val="11"/>
        <color theme="1"/>
        <rFont val="Calibri"/>
        <family val="2"/>
        <scheme val="minor"/>
      </rPr>
      <t>left, right, up, or down</t>
    </r>
    <r>
      <rPr>
        <sz val="11"/>
        <color theme="1"/>
        <rFont val="Calibri"/>
        <family val="2"/>
        <scheme val="minor"/>
      </rPr>
      <t xml:space="preserve"> — no limits!</t>
    </r>
  </si>
  <si>
    <t>Go to Previous example</t>
  </si>
  <si>
    <t>Using Index and Match</t>
  </si>
  <si>
    <t>Q5</t>
  </si>
  <si>
    <t>Find the position of the employee whose salary is just below 150000</t>
  </si>
  <si>
    <t>Find the name of age 45</t>
  </si>
  <si>
    <t>Find the sales of Kiran in March month</t>
  </si>
  <si>
    <t>using hlookup</t>
  </si>
  <si>
    <t>Find the sales of kiran</t>
  </si>
  <si>
    <t>index</t>
  </si>
  <si>
    <t>Mentioned text's position</t>
  </si>
  <si>
    <t>Mentioned lookup value position in a array</t>
  </si>
  <si>
    <t>Find Aman's sales for Mar month</t>
  </si>
  <si>
    <t>vlookup+match</t>
  </si>
  <si>
    <t>Find sales for Aman in Jan,Feb and March</t>
  </si>
  <si>
    <t>xlookup</t>
  </si>
  <si>
    <t>Vlookup</t>
  </si>
  <si>
    <t>Vlookup+match</t>
  </si>
  <si>
    <t>name list</t>
  </si>
  <si>
    <t>index+match</t>
  </si>
  <si>
    <t>Only Hlookup</t>
  </si>
  <si>
    <t>Hlookup+match</t>
  </si>
  <si>
    <t>Find sales for any selected sales person in every month</t>
  </si>
  <si>
    <t>month name</t>
  </si>
  <si>
    <t>row index</t>
  </si>
  <si>
    <t>Q1. Find Level For Name "Renu"</t>
  </si>
  <si>
    <t>Name list</t>
  </si>
  <si>
    <t>Colum list</t>
  </si>
  <si>
    <t>colum index</t>
  </si>
  <si>
    <t>we can give name to our table</t>
  </si>
  <si>
    <t>select whole table==&gt;name box==&gt;give name</t>
  </si>
  <si>
    <t>hlookup</t>
  </si>
  <si>
    <t>list of months(rows)</t>
  </si>
  <si>
    <t>row(monthname )index</t>
  </si>
  <si>
    <t>list of name(column)</t>
  </si>
  <si>
    <t>hlookup+match</t>
  </si>
  <si>
    <t>vlookup</t>
  </si>
  <si>
    <t>lookup</t>
  </si>
  <si>
    <t>Dosent work(vlookup will give first exact match)</t>
  </si>
  <si>
    <t>find(position)</t>
  </si>
  <si>
    <t>match(poition in row and column )</t>
  </si>
  <si>
    <t>Find coursename for sahil</t>
  </si>
  <si>
    <t>Vlookup,xlookup,hlookup,index==&gt;value</t>
  </si>
  <si>
    <t>Find name for joiningdate</t>
  </si>
  <si>
    <t>Using vlookup and Match</t>
  </si>
  <si>
    <t>We will use index +match when we have large data(100 of columns, lacs of rows)</t>
  </si>
  <si>
    <t>Find sales for any sales person in any month</t>
  </si>
  <si>
    <t>Xlookup ==match</t>
  </si>
  <si>
    <t>value of mentioned position in a table</t>
  </si>
  <si>
    <t>index(value)</t>
  </si>
  <si>
    <t>Find row num of Aditya</t>
  </si>
  <si>
    <t>Find column index for Course</t>
  </si>
  <si>
    <t>Only Index</t>
  </si>
  <si>
    <t>name</t>
  </si>
  <si>
    <t>std id</t>
  </si>
  <si>
    <t>course</t>
  </si>
  <si>
    <t>Aadhar Vyas</t>
  </si>
  <si>
    <t>Affan Tamboli</t>
  </si>
  <si>
    <t>Anupam Penurkar</t>
  </si>
  <si>
    <t>Chaitanya Gawande</t>
  </si>
  <si>
    <t>Gayatri Satale</t>
  </si>
  <si>
    <t>Gouri Lad</t>
  </si>
  <si>
    <t>python</t>
  </si>
  <si>
    <t>Ai</t>
  </si>
  <si>
    <t>find name for id =5</t>
  </si>
  <si>
    <t>Before applying Approximate match===&gt;lookup value= must be sorted in a asc order</t>
  </si>
  <si>
    <t>Find name for id=6</t>
  </si>
  <si>
    <t>Using vlookup+match</t>
  </si>
  <si>
    <t>Using Vlookup+choose</t>
  </si>
  <si>
    <t>Find Aman's sales for Mar month for any selected name</t>
  </si>
  <si>
    <t>Q2. Find sales,level,bonus,year for any selected person</t>
  </si>
  <si>
    <t>Using vlookup+choose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</si>
</sst>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3" fontId="0" fillId="0" borderId="0" xfId="0" applyNumberFormat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7" fillId="0" borderId="0" xfId="0" applyFont="1"/>
    <xf numFmtId="0" fontId="1" fillId="3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2" borderId="1" xfId="0" applyFill="1" applyBorder="1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left" vertical="center" indent="1"/>
    </xf>
    <xf numFmtId="14" fontId="0" fillId="0" borderId="1" xfId="0" applyNumberFormat="1" applyBorder="1"/>
    <xf numFmtId="0" fontId="0" fillId="3" borderId="0" xfId="0" applyFill="1"/>
    <xf numFmtId="0" fontId="0" fillId="4" borderId="0" xfId="0" applyFill="1"/>
    <xf numFmtId="3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0" fontId="9" fillId="7" borderId="0" xfId="0" applyFont="1" applyFill="1"/>
    <xf numFmtId="0" fontId="0" fillId="8" borderId="0" xfId="0" applyFill="1"/>
    <xf numFmtId="3" fontId="0" fillId="8" borderId="0" xfId="0" applyNumberFormat="1" applyFill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right" vertical="center"/>
    </xf>
    <xf numFmtId="0" fontId="0" fillId="6" borderId="1" xfId="0" applyFill="1" applyBorder="1"/>
    <xf numFmtId="0" fontId="7" fillId="0" borderId="1" xfId="0" applyFont="1" applyBorder="1" applyAlignment="1">
      <alignment horizontal="left" vertical="center" indent="1"/>
    </xf>
    <xf numFmtId="0" fontId="1" fillId="0" borderId="1" xfId="0" applyFont="1" applyBorder="1"/>
    <xf numFmtId="0" fontId="10" fillId="0" borderId="1" xfId="0" applyFont="1" applyBorder="1" applyAlignment="1">
      <alignment wrapText="1"/>
    </xf>
    <xf numFmtId="0" fontId="0" fillId="0" borderId="0" xfId="0" applyAlignment="1">
      <alignment horizontal="left" vertical="top"/>
    </xf>
  </cellXfs>
  <cellStyles count="2">
    <cellStyle name="Normal" xfId="0" builtinId="0"/>
    <cellStyle name="Normal 2" xfId="1" xr:uid="{7122D92F-C39A-48A1-9645-2E29852217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135223</xdr:colOff>
      <xdr:row>36</xdr:row>
      <xdr:rowOff>58616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DAE010-12DA-474E-9546-9438D47D0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64751" cy="6811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C6B7-FE93-4EC6-80F6-0FD79F1032FA}">
  <dimension ref="A1:J68"/>
  <sheetViews>
    <sheetView tabSelected="1" topLeftCell="E47" zoomScale="174" zoomScaleNormal="115" workbookViewId="0">
      <selection activeCell="I60" sqref="I60"/>
    </sheetView>
  </sheetViews>
  <sheetFormatPr defaultRowHeight="14.4"/>
  <cols>
    <col min="1" max="1" width="19.88671875" bestFit="1" customWidth="1"/>
    <col min="2" max="2" width="4.21875" bestFit="1" customWidth="1"/>
    <col min="3" max="3" width="7.21875" bestFit="1" customWidth="1"/>
    <col min="4" max="4" width="16.5546875" bestFit="1" customWidth="1"/>
    <col min="5" max="5" width="16.21875" customWidth="1"/>
    <col min="7" max="7" width="26.21875" customWidth="1"/>
    <col min="9" max="9" width="22.77734375" customWidth="1"/>
    <col min="10" max="10" width="15" customWidth="1"/>
    <col min="11" max="11" width="13" customWidth="1"/>
  </cols>
  <sheetData>
    <row r="1" spans="1:1">
      <c r="A1" s="9"/>
    </row>
    <row r="2" spans="1:1">
      <c r="A2" s="9"/>
    </row>
    <row r="3" spans="1:1">
      <c r="A3" s="9"/>
    </row>
    <row r="4" spans="1:1">
      <c r="A4" s="9"/>
    </row>
    <row r="38" spans="1:10" ht="15" thickBot="1"/>
    <row r="39" spans="1:10" ht="15" thickBot="1">
      <c r="A39" s="13" t="s">
        <v>0</v>
      </c>
      <c r="B39" s="13" t="s">
        <v>90</v>
      </c>
      <c r="C39" s="13" t="s">
        <v>91</v>
      </c>
      <c r="D39" s="13" t="s">
        <v>92</v>
      </c>
      <c r="E39" s="13" t="s">
        <v>93</v>
      </c>
    </row>
    <row r="40" spans="1:10" ht="15" thickBot="1">
      <c r="A40" s="14" t="s">
        <v>115</v>
      </c>
      <c r="B40" s="15">
        <v>34</v>
      </c>
      <c r="C40" s="14" t="s">
        <v>97</v>
      </c>
      <c r="D40" s="14" t="s">
        <v>98</v>
      </c>
      <c r="E40" s="15">
        <v>30479</v>
      </c>
    </row>
    <row r="41" spans="1:10" ht="15" thickBot="1">
      <c r="A41" s="14" t="s">
        <v>106</v>
      </c>
      <c r="B41" s="15">
        <v>53</v>
      </c>
      <c r="C41" s="14" t="s">
        <v>97</v>
      </c>
      <c r="D41" s="14" t="s">
        <v>100</v>
      </c>
      <c r="E41" s="15">
        <v>31809</v>
      </c>
      <c r="I41" s="10" t="s">
        <v>122</v>
      </c>
    </row>
    <row r="42" spans="1:10" ht="15" thickBot="1">
      <c r="A42" s="14" t="s">
        <v>107</v>
      </c>
      <c r="B42" s="15">
        <v>59</v>
      </c>
      <c r="C42" s="14" t="s">
        <v>97</v>
      </c>
      <c r="D42" s="14" t="s">
        <v>108</v>
      </c>
      <c r="E42" s="15">
        <v>39769</v>
      </c>
      <c r="I42" s="11" t="s">
        <v>123</v>
      </c>
      <c r="J42" s="12" t="s">
        <v>94</v>
      </c>
    </row>
    <row r="43" spans="1:10" ht="15" thickBot="1">
      <c r="A43" s="14" t="s">
        <v>109</v>
      </c>
      <c r="B43" s="15">
        <v>26</v>
      </c>
      <c r="C43" s="14" t="s">
        <v>97</v>
      </c>
      <c r="D43" s="14" t="s">
        <v>98</v>
      </c>
      <c r="E43" s="15">
        <v>75792</v>
      </c>
      <c r="H43">
        <v>2</v>
      </c>
      <c r="I43" s="11" t="s">
        <v>90</v>
      </c>
      <c r="J43" s="8">
        <f>VLOOKUP(J42,A39:E56,H43,0)</f>
        <v>37</v>
      </c>
    </row>
    <row r="44" spans="1:10" ht="15" thickBot="1">
      <c r="A44" s="14" t="s">
        <v>101</v>
      </c>
      <c r="B44" s="15">
        <v>59</v>
      </c>
      <c r="C44" s="14" t="s">
        <v>95</v>
      </c>
      <c r="D44" s="14" t="s">
        <v>41</v>
      </c>
      <c r="E44" s="15">
        <v>84784</v>
      </c>
      <c r="H44">
        <v>3</v>
      </c>
      <c r="I44" s="11" t="s">
        <v>91</v>
      </c>
      <c r="J44" s="8" t="str">
        <f t="shared" ref="J44" si="0">VLOOKUP($J$42,A40:E57,H44,0)</f>
        <v>Male</v>
      </c>
    </row>
    <row r="45" spans="1:10" ht="15" thickBot="1">
      <c r="A45" s="14" t="s">
        <v>111</v>
      </c>
      <c r="B45" s="15">
        <v>44</v>
      </c>
      <c r="C45" s="14" t="s">
        <v>97</v>
      </c>
      <c r="D45" s="14" t="s">
        <v>41</v>
      </c>
      <c r="E45" s="15">
        <v>98803</v>
      </c>
      <c r="H45">
        <v>4</v>
      </c>
      <c r="I45" s="11" t="s">
        <v>92</v>
      </c>
      <c r="J45" s="8" t="str">
        <f>VLOOKUP($J$42,A41:E58,H45,0)</f>
        <v>Sales</v>
      </c>
    </row>
    <row r="46" spans="1:10" ht="15" thickBot="1">
      <c r="A46" s="14" t="s">
        <v>99</v>
      </c>
      <c r="B46" s="15">
        <v>45</v>
      </c>
      <c r="C46" s="14" t="s">
        <v>97</v>
      </c>
      <c r="D46" s="14" t="s">
        <v>100</v>
      </c>
      <c r="E46" s="15">
        <v>100741</v>
      </c>
      <c r="H46">
        <v>5</v>
      </c>
      <c r="I46" s="11" t="s">
        <v>93</v>
      </c>
      <c r="J46" s="8">
        <f>VLOOKUP($J$42,A42:E59,H46,0)</f>
        <v>149030</v>
      </c>
    </row>
    <row r="47" spans="1:10" ht="15" thickBot="1">
      <c r="A47" s="14" t="s">
        <v>119</v>
      </c>
      <c r="B47" s="15">
        <v>27</v>
      </c>
      <c r="C47" s="14" t="s">
        <v>97</v>
      </c>
      <c r="D47" s="14" t="s">
        <v>120</v>
      </c>
      <c r="E47" s="15">
        <v>121734</v>
      </c>
    </row>
    <row r="48" spans="1:10" ht="15" thickBot="1">
      <c r="A48" s="14" t="s">
        <v>104</v>
      </c>
      <c r="B48" s="15">
        <v>48</v>
      </c>
      <c r="C48" s="14" t="s">
        <v>95</v>
      </c>
      <c r="D48" s="14" t="s">
        <v>105</v>
      </c>
      <c r="E48" s="15">
        <v>127313</v>
      </c>
      <c r="H48" t="s">
        <v>124</v>
      </c>
      <c r="I48" t="s">
        <v>125</v>
      </c>
    </row>
    <row r="49" spans="1:9" ht="15" thickBot="1">
      <c r="A49" s="14" t="s">
        <v>113</v>
      </c>
      <c r="B49" s="15">
        <v>54</v>
      </c>
      <c r="C49" s="14" t="s">
        <v>95</v>
      </c>
      <c r="D49" s="14" t="s">
        <v>114</v>
      </c>
      <c r="E49" s="15">
        <v>136087</v>
      </c>
      <c r="G49" s="16" t="s">
        <v>122</v>
      </c>
      <c r="H49" s="16" t="s">
        <v>126</v>
      </c>
      <c r="I49" s="16" t="str">
        <f>VLOOKUP(J42,A41:E58,H45,0)</f>
        <v>Sales</v>
      </c>
    </row>
    <row r="50" spans="1:9" ht="15" thickBot="1">
      <c r="A50" s="14" t="s">
        <v>110</v>
      </c>
      <c r="B50" s="15">
        <v>58</v>
      </c>
      <c r="C50" s="14" t="s">
        <v>95</v>
      </c>
      <c r="D50" s="14" t="s">
        <v>41</v>
      </c>
      <c r="E50" s="15">
        <v>148988</v>
      </c>
      <c r="G50" s="16" t="s">
        <v>127</v>
      </c>
      <c r="H50" s="16" t="s">
        <v>126</v>
      </c>
      <c r="I50" s="16" t="str">
        <f>_xlfn.XLOOKUP(J42,A39:A56,D39:D56,"Not Found",0)</f>
        <v>Sales</v>
      </c>
    </row>
    <row r="51" spans="1:9" ht="15" thickBot="1">
      <c r="A51" s="14" t="s">
        <v>94</v>
      </c>
      <c r="B51" s="15">
        <v>37</v>
      </c>
      <c r="C51" s="14" t="s">
        <v>95</v>
      </c>
      <c r="D51" s="14" t="s">
        <v>41</v>
      </c>
      <c r="E51" s="15">
        <v>149030</v>
      </c>
      <c r="G51" s="16" t="s">
        <v>206</v>
      </c>
      <c r="H51" s="16" t="s">
        <v>126</v>
      </c>
      <c r="I51" s="16" t="str">
        <f>VLOOKUP(J42,A39:E56,MATCH("Position",A39:E39,0),0)</f>
        <v>Sales</v>
      </c>
    </row>
    <row r="52" spans="1:9" ht="15" thickBot="1">
      <c r="A52" s="14" t="s">
        <v>116</v>
      </c>
      <c r="B52" s="15">
        <v>47</v>
      </c>
      <c r="C52" s="14" t="s">
        <v>97</v>
      </c>
      <c r="D52" s="14" t="s">
        <v>41</v>
      </c>
      <c r="E52" s="15">
        <v>150145</v>
      </c>
      <c r="H52" t="s">
        <v>129</v>
      </c>
      <c r="I52" t="s">
        <v>130</v>
      </c>
    </row>
    <row r="53" spans="1:9" ht="15" thickBot="1">
      <c r="A53" s="14" t="s">
        <v>117</v>
      </c>
      <c r="B53" s="15">
        <v>35</v>
      </c>
      <c r="C53" s="14" t="s">
        <v>97</v>
      </c>
      <c r="D53" s="14" t="s">
        <v>118</v>
      </c>
      <c r="E53" s="15">
        <v>158214</v>
      </c>
      <c r="G53" s="16" t="s">
        <v>122</v>
      </c>
      <c r="H53" s="16" t="s">
        <v>126</v>
      </c>
      <c r="I53" s="16">
        <f>VLOOKUP("Product Manager",D39:E56,2,0)</f>
        <v>172266</v>
      </c>
    </row>
    <row r="54" spans="1:9" ht="15" thickBot="1">
      <c r="A54" s="14" t="s">
        <v>112</v>
      </c>
      <c r="B54" s="15">
        <v>39</v>
      </c>
      <c r="C54" s="14" t="s">
        <v>97</v>
      </c>
      <c r="D54" s="14" t="s">
        <v>103</v>
      </c>
      <c r="E54" s="15">
        <v>172266</v>
      </c>
      <c r="G54" s="16" t="s">
        <v>127</v>
      </c>
      <c r="H54" s="16" t="s">
        <v>126</v>
      </c>
      <c r="I54" s="16">
        <f>_xlfn.XLOOKUP("Product Manager",D39:D56,E39:E56,"Not Found",0)</f>
        <v>172266</v>
      </c>
    </row>
    <row r="55" spans="1:9" ht="15" thickBot="1">
      <c r="A55" s="14" t="s">
        <v>96</v>
      </c>
      <c r="B55" s="15">
        <v>46</v>
      </c>
      <c r="C55" s="14" t="s">
        <v>97</v>
      </c>
      <c r="D55" s="14" t="s">
        <v>98</v>
      </c>
      <c r="E55" s="15">
        <v>182507</v>
      </c>
      <c r="G55" s="16" t="s">
        <v>206</v>
      </c>
      <c r="H55" s="16"/>
      <c r="I55" s="16">
        <f>VLOOKUP(D54,D39:E56,MATCH("salary",D39:E39,0),0)</f>
        <v>172266</v>
      </c>
    </row>
    <row r="56" spans="1:9" ht="15" thickBot="1">
      <c r="A56" s="14" t="s">
        <v>102</v>
      </c>
      <c r="B56" s="15">
        <v>59</v>
      </c>
      <c r="C56" s="14" t="s">
        <v>95</v>
      </c>
      <c r="D56" s="14" t="s">
        <v>103</v>
      </c>
      <c r="E56" s="15">
        <v>184551</v>
      </c>
      <c r="H56" t="s">
        <v>131</v>
      </c>
      <c r="I56" t="s">
        <v>132</v>
      </c>
    </row>
    <row r="57" spans="1:9">
      <c r="G57" s="16" t="s">
        <v>122</v>
      </c>
      <c r="H57" s="16" t="s">
        <v>126</v>
      </c>
      <c r="I57" s="16" t="str">
        <f>VLOOKUP(150145,CHOOSE({1,2},E39:E56,A39:A56,0),2,0)</f>
        <v>Akhilesh Kumar</v>
      </c>
    </row>
    <row r="58" spans="1:9">
      <c r="G58" s="16" t="s">
        <v>127</v>
      </c>
      <c r="H58" s="16" t="s">
        <v>126</v>
      </c>
      <c r="I58" s="16" t="str">
        <f>_xlfn.XLOOKUP(150145,E39:E56,A39:A56,"Not Found",0)</f>
        <v>Akhilesh Kumar</v>
      </c>
    </row>
    <row r="59" spans="1:9">
      <c r="G59" s="16" t="s">
        <v>210</v>
      </c>
      <c r="H59" s="16"/>
      <c r="I59" s="16" t="str">
        <f>VLOOKUP(150145,CHOOSE({1,2},E39:E56,A39:A56,0),2,0)</f>
        <v>Akhilesh Kumar</v>
      </c>
    </row>
    <row r="60" spans="1:9">
      <c r="H60" t="s">
        <v>133</v>
      </c>
      <c r="I60" t="s">
        <v>134</v>
      </c>
    </row>
    <row r="61" spans="1:9">
      <c r="G61" s="16" t="s">
        <v>122</v>
      </c>
      <c r="H61" s="16" t="s">
        <v>126</v>
      </c>
      <c r="I61" s="16" t="s">
        <v>177</v>
      </c>
    </row>
    <row r="62" spans="1:9">
      <c r="G62" s="16" t="s">
        <v>127</v>
      </c>
      <c r="H62" s="16" t="s">
        <v>126</v>
      </c>
      <c r="I62" s="16">
        <f>_xlfn.XLOOKUP("Sales",D40:D56,E40:E56,"Not Found",0,-1)</f>
        <v>150145</v>
      </c>
    </row>
    <row r="63" spans="1:9">
      <c r="G63" s="16"/>
      <c r="H63" s="16"/>
      <c r="I63" s="16"/>
    </row>
    <row r="64" spans="1:9">
      <c r="H64" s="25" t="s">
        <v>142</v>
      </c>
      <c r="I64" t="s">
        <v>144</v>
      </c>
    </row>
    <row r="65" spans="7:9">
      <c r="G65" s="16" t="s">
        <v>122</v>
      </c>
      <c r="H65" s="16" t="s">
        <v>126</v>
      </c>
      <c r="I65" s="16" t="str">
        <f>VLOOKUP(45,CHOOSE({1,2},B39:B56,A39:A56,0),2,0)</f>
        <v>Roshan Zameer</v>
      </c>
    </row>
    <row r="66" spans="7:9">
      <c r="G66" s="16" t="s">
        <v>127</v>
      </c>
      <c r="H66" s="16" t="s">
        <v>126</v>
      </c>
      <c r="I66" s="16" t="str">
        <f>_xlfn.XLOOKUP(45,B39:B56,A39:A56,"Not Found",0)</f>
        <v>Roshan Zameer</v>
      </c>
    </row>
    <row r="67" spans="7:9">
      <c r="G67" s="16" t="s">
        <v>207</v>
      </c>
      <c r="H67" s="16" t="s">
        <v>126</v>
      </c>
      <c r="I67" s="16"/>
    </row>
    <row r="68" spans="7:9">
      <c r="G68" s="16" t="s">
        <v>206</v>
      </c>
      <c r="H68" s="16" t="s">
        <v>126</v>
      </c>
      <c r="I68" t="e">
        <f>VLOOKUP("Age",A39:E56,MATCH("Name",A39:E39,0),0)</f>
        <v>#N/A</v>
      </c>
    </row>
  </sheetData>
  <sortState xmlns:xlrd2="http://schemas.microsoft.com/office/spreadsheetml/2017/richdata2" ref="A40:E56">
    <sortCondition ref="E40:E56"/>
  </sortState>
  <dataValidations count="1">
    <dataValidation type="list" allowBlank="1" showInputMessage="1" showErrorMessage="1" sqref="J42" xr:uid="{B5373D13-5016-4DC2-9930-6BD13A21DE4B}">
      <formula1>$A$40:$A$56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F16E-536F-46AE-BE60-C6A059D8B7DE}">
  <dimension ref="A1:P120"/>
  <sheetViews>
    <sheetView topLeftCell="F58" zoomScale="139" zoomScaleNormal="145" workbookViewId="0">
      <selection activeCell="I73" sqref="I73"/>
    </sheetView>
  </sheetViews>
  <sheetFormatPr defaultRowHeight="14.4"/>
  <cols>
    <col min="1" max="1" width="19.44140625" bestFit="1" customWidth="1"/>
    <col min="2" max="2" width="12.5546875" customWidth="1"/>
    <col min="3" max="3" width="25.44140625" customWidth="1"/>
    <col min="4" max="4" width="16.44140625" bestFit="1" customWidth="1"/>
    <col min="5" max="5" width="15.21875" customWidth="1"/>
    <col min="6" max="6" width="15.44140625" customWidth="1"/>
    <col min="7" max="7" width="22.6640625" customWidth="1"/>
    <col min="9" max="9" width="38.6640625" customWidth="1"/>
    <col min="10" max="10" width="13.6640625" customWidth="1"/>
    <col min="11" max="11" width="36" customWidth="1"/>
    <col min="12" max="12" width="20.109375" bestFit="1" customWidth="1"/>
    <col min="13" max="13" width="4.21875" bestFit="1" customWidth="1"/>
    <col min="14" max="14" width="7.21875" bestFit="1" customWidth="1"/>
    <col min="15" max="15" width="16.6640625" bestFit="1" customWidth="1"/>
    <col min="16" max="16" width="7.109375" bestFit="1" customWidth="1"/>
  </cols>
  <sheetData>
    <row r="1" spans="1:13" ht="19.8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A3" t="s">
        <v>44</v>
      </c>
    </row>
    <row r="5" spans="1:13">
      <c r="A5" s="3" t="s">
        <v>45</v>
      </c>
      <c r="I5" s="8" t="s">
        <v>178</v>
      </c>
      <c r="J5" s="8">
        <f>FIND("M",K5)</f>
        <v>1</v>
      </c>
      <c r="K5" s="8" t="s">
        <v>149</v>
      </c>
    </row>
    <row r="6" spans="1:13">
      <c r="A6" s="3" t="s">
        <v>46</v>
      </c>
      <c r="I6" s="8" t="s">
        <v>188</v>
      </c>
      <c r="J6" s="8" t="str">
        <f>INDEX(A13:D20,2,3)</f>
        <v>March 11, 2025</v>
      </c>
      <c r="K6" s="8" t="s">
        <v>187</v>
      </c>
    </row>
    <row r="7" spans="1:13">
      <c r="A7" s="3" t="s">
        <v>47</v>
      </c>
      <c r="I7" s="8"/>
      <c r="J7" s="8"/>
      <c r="K7" s="8"/>
    </row>
    <row r="8" spans="1:13">
      <c r="A8" s="4"/>
      <c r="I8" s="8"/>
      <c r="J8" s="8"/>
      <c r="K8" s="8"/>
    </row>
    <row r="9" spans="1:13">
      <c r="A9" s="5" t="s">
        <v>48</v>
      </c>
      <c r="I9" s="8" t="s">
        <v>179</v>
      </c>
      <c r="J9" s="8">
        <f>MATCH(A17,A13:A20,0)</f>
        <v>5</v>
      </c>
      <c r="K9" s="8" t="s">
        <v>150</v>
      </c>
    </row>
    <row r="10" spans="1:13">
      <c r="A10" s="5" t="s">
        <v>49</v>
      </c>
    </row>
    <row r="11" spans="1:13">
      <c r="A11" s="5" t="s">
        <v>50</v>
      </c>
    </row>
    <row r="13" spans="1:13">
      <c r="A13" s="22" t="s">
        <v>0</v>
      </c>
      <c r="B13" s="8" t="s">
        <v>53</v>
      </c>
      <c r="C13" s="8" t="s">
        <v>57</v>
      </c>
      <c r="D13" s="8"/>
    </row>
    <row r="14" spans="1:13">
      <c r="A14" s="22" t="s">
        <v>54</v>
      </c>
      <c r="B14" s="8" t="s">
        <v>58</v>
      </c>
      <c r="C14" s="23" t="s">
        <v>66</v>
      </c>
      <c r="D14" s="8"/>
      <c r="G14" t="s">
        <v>180</v>
      </c>
      <c r="H14" t="s">
        <v>181</v>
      </c>
    </row>
    <row r="15" spans="1:13">
      <c r="A15" s="22" t="s">
        <v>55</v>
      </c>
      <c r="B15" s="8" t="s">
        <v>59</v>
      </c>
      <c r="C15" s="23" t="s">
        <v>67</v>
      </c>
      <c r="D15" s="8"/>
      <c r="F15" s="24" t="s">
        <v>148</v>
      </c>
      <c r="G15" t="str">
        <f>INDEX(A13:D20,5,2)</f>
        <v>DA</v>
      </c>
    </row>
    <row r="16" spans="1:13">
      <c r="A16" s="22" t="s">
        <v>56</v>
      </c>
      <c r="B16" s="8" t="s">
        <v>60</v>
      </c>
      <c r="C16" s="23" t="s">
        <v>68</v>
      </c>
      <c r="D16" s="8"/>
      <c r="F16" s="24" t="s">
        <v>152</v>
      </c>
      <c r="G16" t="str">
        <f>VLOOKUP("Sahil",A13:D20,MATCH("Course",A13:C13,0))</f>
        <v>DA</v>
      </c>
    </row>
    <row r="17" spans="1:8">
      <c r="A17" s="22" t="s">
        <v>61</v>
      </c>
      <c r="B17" s="8" t="s">
        <v>60</v>
      </c>
      <c r="C17" s="23" t="s">
        <v>69</v>
      </c>
      <c r="D17" s="8"/>
      <c r="G17" t="s">
        <v>182</v>
      </c>
      <c r="H17" s="23" t="s">
        <v>68</v>
      </c>
    </row>
    <row r="18" spans="1:8">
      <c r="A18" s="22" t="s">
        <v>62</v>
      </c>
      <c r="B18" s="8" t="s">
        <v>59</v>
      </c>
      <c r="C18" s="23" t="s">
        <v>70</v>
      </c>
      <c r="D18" s="8"/>
      <c r="F18" s="24" t="s">
        <v>148</v>
      </c>
      <c r="G18" t="str">
        <f>INDEX(A13:D20,4,1)</f>
        <v>Mayuri</v>
      </c>
    </row>
    <row r="19" spans="1:8">
      <c r="A19" s="22" t="s">
        <v>63</v>
      </c>
      <c r="B19" s="8" t="s">
        <v>58</v>
      </c>
      <c r="C19" s="23" t="s">
        <v>71</v>
      </c>
      <c r="D19" s="8"/>
      <c r="F19" s="24" t="s">
        <v>158</v>
      </c>
      <c r="G19" t="str">
        <f>INDEX(A13:D20,MATCH(H17,C13:C20,0),1)</f>
        <v>Mayuri</v>
      </c>
    </row>
    <row r="20" spans="1:8">
      <c r="A20" s="22" t="s">
        <v>64</v>
      </c>
      <c r="B20" s="8" t="s">
        <v>65</v>
      </c>
      <c r="C20" s="23" t="s">
        <v>72</v>
      </c>
      <c r="D20" s="8"/>
    </row>
    <row r="23" spans="1:8" ht="19.8">
      <c r="A23" s="2" t="s">
        <v>88</v>
      </c>
    </row>
    <row r="25" spans="1:8">
      <c r="A25" t="s">
        <v>89</v>
      </c>
    </row>
    <row r="27" spans="1:8">
      <c r="B27" t="str">
        <f>INDEX(B13:B20,4)</f>
        <v>DA</v>
      </c>
    </row>
    <row r="30" spans="1:8">
      <c r="A30" t="s">
        <v>86</v>
      </c>
    </row>
    <row r="31" spans="1:8">
      <c r="A31" t="s">
        <v>87</v>
      </c>
    </row>
    <row r="33" spans="1:16" ht="23.4">
      <c r="A33" s="19" t="s">
        <v>136</v>
      </c>
    </row>
    <row r="35" spans="1:16">
      <c r="A35" s="3" t="s">
        <v>137</v>
      </c>
    </row>
    <row r="36" spans="1:16">
      <c r="A36" s="4"/>
    </row>
    <row r="37" spans="1:16">
      <c r="A37" s="20" t="s">
        <v>138</v>
      </c>
    </row>
    <row r="38" spans="1:16">
      <c r="A38" s="4" t="s">
        <v>139</v>
      </c>
    </row>
    <row r="40" spans="1:16">
      <c r="A40" t="s">
        <v>140</v>
      </c>
    </row>
    <row r="41" spans="1:16" ht="15" thickBot="1"/>
    <row r="42" spans="1:16" ht="15" thickBot="1">
      <c r="A42" s="13" t="s">
        <v>0</v>
      </c>
      <c r="B42" s="13" t="s">
        <v>90</v>
      </c>
      <c r="C42" s="13" t="s">
        <v>91</v>
      </c>
      <c r="D42" s="13" t="s">
        <v>92</v>
      </c>
      <c r="E42" s="13" t="s">
        <v>93</v>
      </c>
    </row>
    <row r="43" spans="1:16" ht="15" thickBot="1">
      <c r="A43" s="14" t="s">
        <v>94</v>
      </c>
      <c r="B43" s="15">
        <v>37</v>
      </c>
      <c r="C43" s="14" t="s">
        <v>95</v>
      </c>
      <c r="D43" s="14" t="s">
        <v>135</v>
      </c>
      <c r="E43" s="15">
        <v>149030</v>
      </c>
      <c r="L43" s="13" t="s">
        <v>0</v>
      </c>
      <c r="M43" s="13" t="s">
        <v>90</v>
      </c>
      <c r="N43" s="13" t="s">
        <v>91</v>
      </c>
      <c r="O43" s="13" t="s">
        <v>92</v>
      </c>
      <c r="P43" s="13" t="s">
        <v>93</v>
      </c>
    </row>
    <row r="44" spans="1:16" ht="15" thickBot="1">
      <c r="A44" s="14" t="s">
        <v>96</v>
      </c>
      <c r="B44" s="15">
        <v>46</v>
      </c>
      <c r="C44" s="14" t="s">
        <v>97</v>
      </c>
      <c r="D44" s="14" t="s">
        <v>98</v>
      </c>
      <c r="E44" s="15">
        <v>182507</v>
      </c>
      <c r="I44" s="10" t="s">
        <v>122</v>
      </c>
      <c r="L44" s="14" t="s">
        <v>115</v>
      </c>
      <c r="M44" s="15">
        <v>34</v>
      </c>
      <c r="N44" s="14" t="s">
        <v>97</v>
      </c>
      <c r="O44" s="14" t="s">
        <v>98</v>
      </c>
      <c r="P44" s="15">
        <v>30479</v>
      </c>
    </row>
    <row r="45" spans="1:16" ht="15" thickBot="1">
      <c r="A45" s="14" t="s">
        <v>99</v>
      </c>
      <c r="B45" s="15">
        <v>45</v>
      </c>
      <c r="C45" s="14" t="s">
        <v>97</v>
      </c>
      <c r="D45" s="14" t="s">
        <v>100</v>
      </c>
      <c r="E45" s="15">
        <v>100741</v>
      </c>
      <c r="I45" s="11" t="s">
        <v>123</v>
      </c>
      <c r="J45" s="12" t="s">
        <v>101</v>
      </c>
      <c r="L45" s="14" t="s">
        <v>106</v>
      </c>
      <c r="M45" s="15">
        <v>53</v>
      </c>
      <c r="N45" s="14" t="s">
        <v>97</v>
      </c>
      <c r="O45" s="14" t="s">
        <v>100</v>
      </c>
      <c r="P45" s="15">
        <v>31809</v>
      </c>
    </row>
    <row r="46" spans="1:16" ht="15" thickBot="1">
      <c r="A46" s="14" t="s">
        <v>101</v>
      </c>
      <c r="B46" s="15">
        <v>59</v>
      </c>
      <c r="C46" s="14" t="s">
        <v>95</v>
      </c>
      <c r="D46" s="14" t="s">
        <v>41</v>
      </c>
      <c r="E46" s="15">
        <v>84784</v>
      </c>
      <c r="H46">
        <v>2</v>
      </c>
      <c r="I46" s="11" t="s">
        <v>90</v>
      </c>
      <c r="J46" s="8"/>
      <c r="L46" s="14" t="s">
        <v>107</v>
      </c>
      <c r="M46" s="15">
        <v>59</v>
      </c>
      <c r="N46" s="14" t="s">
        <v>97</v>
      </c>
      <c r="O46" s="14" t="s">
        <v>108</v>
      </c>
      <c r="P46" s="15">
        <v>39769</v>
      </c>
    </row>
    <row r="47" spans="1:16" ht="15" thickBot="1">
      <c r="A47" s="14" t="s">
        <v>102</v>
      </c>
      <c r="B47" s="15">
        <v>59</v>
      </c>
      <c r="C47" s="14" t="s">
        <v>95</v>
      </c>
      <c r="D47" s="14" t="s">
        <v>103</v>
      </c>
      <c r="E47" s="15">
        <v>184551</v>
      </c>
      <c r="H47">
        <v>3</v>
      </c>
      <c r="I47" s="11" t="s">
        <v>91</v>
      </c>
      <c r="J47" s="8"/>
      <c r="L47" s="14" t="s">
        <v>109</v>
      </c>
      <c r="M47" s="15">
        <v>26</v>
      </c>
      <c r="N47" s="14" t="s">
        <v>97</v>
      </c>
      <c r="O47" s="14" t="s">
        <v>98</v>
      </c>
      <c r="P47" s="15">
        <v>75792</v>
      </c>
    </row>
    <row r="48" spans="1:16" ht="15" thickBot="1">
      <c r="A48" s="14" t="s">
        <v>104</v>
      </c>
      <c r="B48" s="15">
        <v>48</v>
      </c>
      <c r="C48" s="14" t="s">
        <v>95</v>
      </c>
      <c r="D48" s="14" t="s">
        <v>105</v>
      </c>
      <c r="E48" s="15">
        <v>127313</v>
      </c>
      <c r="H48">
        <v>4</v>
      </c>
      <c r="I48" s="11" t="s">
        <v>92</v>
      </c>
      <c r="J48" s="8"/>
      <c r="L48" s="14" t="s">
        <v>101</v>
      </c>
      <c r="M48" s="15">
        <v>59</v>
      </c>
      <c r="N48" s="14" t="s">
        <v>95</v>
      </c>
      <c r="O48" s="14" t="s">
        <v>41</v>
      </c>
      <c r="P48" s="15">
        <v>84784</v>
      </c>
    </row>
    <row r="49" spans="1:16" ht="15" thickBot="1">
      <c r="A49" s="14" t="s">
        <v>106</v>
      </c>
      <c r="B49" s="15">
        <v>53</v>
      </c>
      <c r="C49" s="14" t="s">
        <v>97</v>
      </c>
      <c r="D49" s="14" t="s">
        <v>100</v>
      </c>
      <c r="E49" s="15">
        <v>31809</v>
      </c>
      <c r="G49">
        <f>MATCH("Aniruddha Kale",A42:A59,0)</f>
        <v>2</v>
      </c>
      <c r="H49">
        <v>5</v>
      </c>
      <c r="I49" s="11" t="s">
        <v>93</v>
      </c>
      <c r="J49" s="8"/>
      <c r="L49" s="14" t="s">
        <v>111</v>
      </c>
      <c r="M49" s="15">
        <v>44</v>
      </c>
      <c r="N49" s="14" t="s">
        <v>97</v>
      </c>
      <c r="O49" s="14" t="s">
        <v>41</v>
      </c>
      <c r="P49" s="15">
        <v>98803</v>
      </c>
    </row>
    <row r="50" spans="1:16" ht="15" thickBot="1">
      <c r="A50" s="14" t="s">
        <v>107</v>
      </c>
      <c r="B50" s="15">
        <v>59</v>
      </c>
      <c r="C50" s="14" t="s">
        <v>97</v>
      </c>
      <c r="D50" s="14" t="s">
        <v>108</v>
      </c>
      <c r="E50" s="15">
        <v>39769</v>
      </c>
      <c r="L50" s="14" t="s">
        <v>99</v>
      </c>
      <c r="M50" s="15">
        <v>45</v>
      </c>
      <c r="N50" s="14" t="s">
        <v>97</v>
      </c>
      <c r="O50" s="14" t="s">
        <v>100</v>
      </c>
      <c r="P50" s="15">
        <v>100741</v>
      </c>
    </row>
    <row r="51" spans="1:16" ht="15" thickBot="1">
      <c r="A51" s="14" t="s">
        <v>109</v>
      </c>
      <c r="B51" s="15">
        <v>26</v>
      </c>
      <c r="C51" s="14" t="s">
        <v>97</v>
      </c>
      <c r="D51" s="14" t="s">
        <v>98</v>
      </c>
      <c r="E51" s="15">
        <v>75792</v>
      </c>
      <c r="H51" t="s">
        <v>124</v>
      </c>
      <c r="I51" t="s">
        <v>125</v>
      </c>
      <c r="L51" s="14" t="s">
        <v>119</v>
      </c>
      <c r="M51" s="15">
        <v>27</v>
      </c>
      <c r="N51" s="14" t="s">
        <v>97</v>
      </c>
      <c r="O51" s="14" t="s">
        <v>120</v>
      </c>
      <c r="P51" s="15">
        <v>121734</v>
      </c>
    </row>
    <row r="52" spans="1:16" ht="15" thickBot="1">
      <c r="A52" s="14" t="s">
        <v>110</v>
      </c>
      <c r="B52" s="15">
        <v>58</v>
      </c>
      <c r="C52" s="14" t="s">
        <v>95</v>
      </c>
      <c r="D52" s="14" t="s">
        <v>41</v>
      </c>
      <c r="E52" s="15">
        <v>148988</v>
      </c>
      <c r="G52" s="16" t="s">
        <v>122</v>
      </c>
      <c r="H52" s="16" t="s">
        <v>126</v>
      </c>
      <c r="I52" s="16" t="str">
        <f>VLOOKUP("Aniruddha Kale",A42:E59,4,0)</f>
        <v xml:space="preserve">Sales </v>
      </c>
      <c r="L52" s="14" t="s">
        <v>104</v>
      </c>
      <c r="M52" s="15">
        <v>48</v>
      </c>
      <c r="N52" s="14" t="s">
        <v>95</v>
      </c>
      <c r="O52" s="14" t="s">
        <v>105</v>
      </c>
      <c r="P52" s="15">
        <v>127313</v>
      </c>
    </row>
    <row r="53" spans="1:16" ht="15" thickBot="1">
      <c r="A53" s="14" t="s">
        <v>111</v>
      </c>
      <c r="B53" s="15">
        <v>44</v>
      </c>
      <c r="C53" s="14" t="s">
        <v>97</v>
      </c>
      <c r="D53" s="14" t="s">
        <v>41</v>
      </c>
      <c r="E53" s="15">
        <v>98803</v>
      </c>
      <c r="G53" s="16" t="s">
        <v>127</v>
      </c>
      <c r="H53" s="16" t="s">
        <v>126</v>
      </c>
      <c r="I53" s="16"/>
      <c r="L53" s="14" t="s">
        <v>113</v>
      </c>
      <c r="M53" s="15">
        <v>54</v>
      </c>
      <c r="N53" s="14" t="s">
        <v>95</v>
      </c>
      <c r="O53" s="14" t="s">
        <v>114</v>
      </c>
      <c r="P53" s="15">
        <v>136087</v>
      </c>
    </row>
    <row r="54" spans="1:16" ht="15" thickBot="1">
      <c r="A54" s="14" t="s">
        <v>112</v>
      </c>
      <c r="B54" s="15">
        <v>39</v>
      </c>
      <c r="C54" s="14" t="s">
        <v>97</v>
      </c>
      <c r="D54" s="14" t="s">
        <v>103</v>
      </c>
      <c r="E54" s="15">
        <v>172266</v>
      </c>
      <c r="G54" s="16" t="s">
        <v>141</v>
      </c>
      <c r="H54" s="16" t="s">
        <v>126</v>
      </c>
      <c r="I54" s="16" t="str">
        <f>INDEX(A42:E59,MATCH("Aniruddha Kale",A42:A59,0),MATCH("Position",A42:E42,0))</f>
        <v xml:space="preserve">Sales </v>
      </c>
      <c r="L54" s="14" t="s">
        <v>110</v>
      </c>
      <c r="M54" s="15">
        <v>58</v>
      </c>
      <c r="N54" s="14" t="s">
        <v>95</v>
      </c>
      <c r="O54" s="14" t="s">
        <v>41</v>
      </c>
      <c r="P54" s="15">
        <v>148988</v>
      </c>
    </row>
    <row r="55" spans="1:16" ht="15" thickBot="1">
      <c r="A55" s="14" t="s">
        <v>113</v>
      </c>
      <c r="B55" s="15">
        <v>54</v>
      </c>
      <c r="C55" s="14" t="s">
        <v>95</v>
      </c>
      <c r="D55" s="14" t="s">
        <v>114</v>
      </c>
      <c r="E55" s="15">
        <v>136087</v>
      </c>
      <c r="G55" s="16" t="s">
        <v>183</v>
      </c>
      <c r="H55" s="16" t="s">
        <v>126</v>
      </c>
      <c r="I55" s="16" t="str">
        <f>VLOOKUP("Aniruddha Kale",A42:E59,MATCH("Position",A42:E42,0),0)</f>
        <v xml:space="preserve">Sales </v>
      </c>
      <c r="L55" s="14" t="s">
        <v>94</v>
      </c>
      <c r="M55" s="15">
        <v>37</v>
      </c>
      <c r="N55" s="14" t="s">
        <v>95</v>
      </c>
      <c r="O55" s="14" t="s">
        <v>135</v>
      </c>
      <c r="P55" s="15">
        <v>149030</v>
      </c>
    </row>
    <row r="56" spans="1:16" ht="15" thickBot="1">
      <c r="A56" s="14" t="s">
        <v>115</v>
      </c>
      <c r="B56" s="15">
        <v>34</v>
      </c>
      <c r="C56" s="14" t="s">
        <v>97</v>
      </c>
      <c r="D56" s="14" t="s">
        <v>98</v>
      </c>
      <c r="E56" s="15">
        <v>30479</v>
      </c>
      <c r="G56" s="17" t="s">
        <v>191</v>
      </c>
      <c r="H56" s="17" t="s">
        <v>126</v>
      </c>
      <c r="I56" t="str">
        <f>INDEX(A42:E59,2,4)</f>
        <v xml:space="preserve">Sales </v>
      </c>
      <c r="L56" s="14" t="s">
        <v>116</v>
      </c>
      <c r="M56" s="15">
        <v>47</v>
      </c>
      <c r="N56" s="14" t="s">
        <v>97</v>
      </c>
      <c r="O56" s="14" t="s">
        <v>41</v>
      </c>
      <c r="P56" s="15">
        <v>150145</v>
      </c>
    </row>
    <row r="57" spans="1:16" ht="15" thickBot="1">
      <c r="A57" s="14" t="s">
        <v>116</v>
      </c>
      <c r="B57" s="15">
        <v>47</v>
      </c>
      <c r="C57" s="14" t="s">
        <v>97</v>
      </c>
      <c r="D57" s="14" t="s">
        <v>41</v>
      </c>
      <c r="E57" s="15">
        <v>150145</v>
      </c>
      <c r="H57" t="s">
        <v>129</v>
      </c>
      <c r="I57" t="s">
        <v>130</v>
      </c>
      <c r="L57" s="14" t="s">
        <v>117</v>
      </c>
      <c r="M57" s="15">
        <v>35</v>
      </c>
      <c r="N57" s="14" t="s">
        <v>97</v>
      </c>
      <c r="O57" s="14" t="s">
        <v>118</v>
      </c>
      <c r="P57" s="15">
        <v>158214</v>
      </c>
    </row>
    <row r="58" spans="1:16" ht="15" thickBot="1">
      <c r="A58" s="14" t="s">
        <v>117</v>
      </c>
      <c r="B58" s="15">
        <v>35</v>
      </c>
      <c r="C58" s="14" t="s">
        <v>97</v>
      </c>
      <c r="D58" s="14" t="s">
        <v>118</v>
      </c>
      <c r="E58" s="15">
        <v>158214</v>
      </c>
      <c r="G58" s="16" t="s">
        <v>122</v>
      </c>
      <c r="H58" s="16" t="s">
        <v>126</v>
      </c>
      <c r="I58" s="16"/>
      <c r="L58" s="14" t="s">
        <v>112</v>
      </c>
      <c r="M58" s="15">
        <v>39</v>
      </c>
      <c r="N58" s="14" t="s">
        <v>97</v>
      </c>
      <c r="O58" s="14" t="s">
        <v>103</v>
      </c>
      <c r="P58" s="15">
        <v>172266</v>
      </c>
    </row>
    <row r="59" spans="1:16" ht="15" thickBot="1">
      <c r="A59" s="14" t="s">
        <v>119</v>
      </c>
      <c r="B59" s="15">
        <v>27</v>
      </c>
      <c r="C59" s="14" t="s">
        <v>97</v>
      </c>
      <c r="D59" s="14" t="s">
        <v>120</v>
      </c>
      <c r="E59" s="15">
        <v>121734</v>
      </c>
      <c r="G59" s="16" t="s">
        <v>127</v>
      </c>
      <c r="H59" s="16" t="s">
        <v>126</v>
      </c>
      <c r="I59" s="16">
        <f>_xlfn.XLOOKUP("Product Manager",D42:D59,E42:E59,"ifn",0)</f>
        <v>184551</v>
      </c>
      <c r="L59" s="14" t="s">
        <v>96</v>
      </c>
      <c r="M59" s="15">
        <v>46</v>
      </c>
      <c r="N59" s="14" t="s">
        <v>97</v>
      </c>
      <c r="O59" s="14" t="s">
        <v>98</v>
      </c>
      <c r="P59" s="15">
        <v>182507</v>
      </c>
    </row>
    <row r="60" spans="1:16" ht="15" thickBot="1">
      <c r="G60" s="16" t="s">
        <v>152</v>
      </c>
      <c r="H60" s="16"/>
      <c r="I60" s="16"/>
      <c r="L60" s="14" t="s">
        <v>102</v>
      </c>
      <c r="M60" s="15">
        <v>59</v>
      </c>
      <c r="N60" s="14" t="s">
        <v>95</v>
      </c>
      <c r="O60" s="14" t="s">
        <v>103</v>
      </c>
      <c r="P60" s="15">
        <v>184551</v>
      </c>
    </row>
    <row r="61" spans="1:16">
      <c r="G61" s="16" t="s">
        <v>141</v>
      </c>
      <c r="H61" s="16" t="s">
        <v>126</v>
      </c>
      <c r="I61" s="16">
        <f>INDEX(A42:E59,MATCH("Product Manager",D42:D59,0),MATCH("Salary",A42:E42,0))</f>
        <v>184551</v>
      </c>
    </row>
    <row r="62" spans="1:16">
      <c r="H62" t="s">
        <v>131</v>
      </c>
      <c r="I62" t="s">
        <v>132</v>
      </c>
    </row>
    <row r="63" spans="1:16">
      <c r="G63" s="16" t="s">
        <v>122</v>
      </c>
      <c r="H63" s="16" t="s">
        <v>126</v>
      </c>
      <c r="I63" s="16"/>
    </row>
    <row r="64" spans="1:16">
      <c r="G64" s="16" t="s">
        <v>127</v>
      </c>
      <c r="H64" s="16" t="s">
        <v>126</v>
      </c>
      <c r="I64" s="16"/>
    </row>
    <row r="65" spans="1:9">
      <c r="G65" s="16" t="s">
        <v>128</v>
      </c>
      <c r="H65" s="16" t="s">
        <v>126</v>
      </c>
      <c r="I65" s="16"/>
    </row>
    <row r="66" spans="1:9">
      <c r="G66" s="16" t="s">
        <v>141</v>
      </c>
      <c r="H66" s="16" t="s">
        <v>126</v>
      </c>
      <c r="I66" s="16" t="str">
        <f>INDEX(A42:E59,MATCH(150145,E42:E59,0),MATCH("Name",A42:E42,0))</f>
        <v>Akhilesh Kumar</v>
      </c>
    </row>
    <row r="67" spans="1:9">
      <c r="H67" t="s">
        <v>133</v>
      </c>
      <c r="I67" t="s">
        <v>134</v>
      </c>
    </row>
    <row r="68" spans="1:9">
      <c r="G68" s="16" t="s">
        <v>122</v>
      </c>
      <c r="H68" s="16" t="s">
        <v>126</v>
      </c>
      <c r="I68" s="16"/>
    </row>
    <row r="69" spans="1:9">
      <c r="G69" s="16" t="s">
        <v>127</v>
      </c>
      <c r="H69" s="16" t="s">
        <v>126</v>
      </c>
      <c r="I69" s="16"/>
    </row>
    <row r="70" spans="1:9">
      <c r="G70" s="16" t="s">
        <v>128</v>
      </c>
      <c r="H70" s="16" t="s">
        <v>126</v>
      </c>
      <c r="I70" s="16"/>
    </row>
    <row r="71" spans="1:9">
      <c r="G71" s="16" t="s">
        <v>141</v>
      </c>
      <c r="H71" s="16" t="s">
        <v>126</v>
      </c>
      <c r="I71" s="16"/>
    </row>
    <row r="72" spans="1:9">
      <c r="H72" t="s">
        <v>142</v>
      </c>
      <c r="I72" t="s">
        <v>143</v>
      </c>
    </row>
    <row r="73" spans="1:9">
      <c r="E73" s="21"/>
      <c r="H73" s="17" t="s">
        <v>126</v>
      </c>
      <c r="I73" s="17" t="str">
        <f>VLOOKUP(150000,CHOOSE({1,2},P44:P60,O44:O60),2,1)</f>
        <v xml:space="preserve">Sales </v>
      </c>
    </row>
    <row r="74" spans="1:9">
      <c r="E74" s="21"/>
    </row>
    <row r="75" spans="1:9">
      <c r="E75" s="21"/>
    </row>
    <row r="76" spans="1:9">
      <c r="E76" s="21"/>
    </row>
    <row r="77" spans="1:9">
      <c r="A77" s="33" t="s">
        <v>184</v>
      </c>
      <c r="B77" s="33"/>
      <c r="C77" s="33"/>
      <c r="D77" s="33"/>
      <c r="E77" s="34"/>
    </row>
    <row r="78" spans="1:9">
      <c r="E78" s="21"/>
    </row>
    <row r="79" spans="1:9">
      <c r="E79" s="21"/>
    </row>
    <row r="80" spans="1:9">
      <c r="E80" s="21"/>
    </row>
    <row r="81" spans="1:5">
      <c r="E81" s="21"/>
    </row>
    <row r="82" spans="1:5">
      <c r="A82" s="8" t="s">
        <v>193</v>
      </c>
      <c r="B82" s="8" t="s">
        <v>194</v>
      </c>
      <c r="C82" s="8" t="s">
        <v>192</v>
      </c>
      <c r="E82" s="21"/>
    </row>
    <row r="83" spans="1:5">
      <c r="A83" s="8">
        <v>1</v>
      </c>
      <c r="B83" s="8" t="s">
        <v>201</v>
      </c>
      <c r="C83" s="38" t="s">
        <v>195</v>
      </c>
      <c r="E83" s="21" t="s">
        <v>203</v>
      </c>
    </row>
    <row r="84" spans="1:5">
      <c r="A84" s="8">
        <v>2</v>
      </c>
      <c r="B84" s="8" t="s">
        <v>202</v>
      </c>
      <c r="C84" s="38" t="s">
        <v>196</v>
      </c>
      <c r="E84" s="21" t="str">
        <f>VLOOKUP(5,A82:C88,3,1)</f>
        <v>Anupam Penurkar</v>
      </c>
    </row>
    <row r="85" spans="1:5">
      <c r="A85" s="8">
        <v>2</v>
      </c>
      <c r="B85" s="8" t="s">
        <v>60</v>
      </c>
      <c r="C85" s="38" t="s">
        <v>199</v>
      </c>
      <c r="D85" s="39"/>
      <c r="E85" s="39" t="s">
        <v>204</v>
      </c>
    </row>
    <row r="86" spans="1:5">
      <c r="A86" s="8">
        <v>3</v>
      </c>
      <c r="B86" s="8" t="s">
        <v>59</v>
      </c>
      <c r="C86" s="38" t="s">
        <v>200</v>
      </c>
      <c r="E86" s="21"/>
    </row>
    <row r="87" spans="1:5">
      <c r="A87" s="8">
        <v>4</v>
      </c>
      <c r="B87" s="8" t="s">
        <v>59</v>
      </c>
      <c r="C87" s="38" t="s">
        <v>197</v>
      </c>
      <c r="E87" s="21" t="s">
        <v>205</v>
      </c>
    </row>
    <row r="88" spans="1:5">
      <c r="A88" s="8">
        <v>7</v>
      </c>
      <c r="B88" s="8" t="s">
        <v>60</v>
      </c>
      <c r="C88" s="38" t="s">
        <v>198</v>
      </c>
      <c r="E88" s="21" t="str">
        <f>VLOOKUP(6,A82:C88,3,1)</f>
        <v>Anupam Penurkar</v>
      </c>
    </row>
    <row r="89" spans="1:5">
      <c r="E89" s="21"/>
    </row>
    <row r="90" spans="1:5">
      <c r="E90" s="21"/>
    </row>
    <row r="108" spans="1:4">
      <c r="A108" s="36" t="s">
        <v>0</v>
      </c>
      <c r="B108" s="37" t="s">
        <v>53</v>
      </c>
      <c r="C108" s="37" t="s">
        <v>57</v>
      </c>
      <c r="D108" s="37"/>
    </row>
    <row r="109" spans="1:4">
      <c r="A109" s="22" t="s">
        <v>54</v>
      </c>
      <c r="B109" s="8" t="s">
        <v>58</v>
      </c>
      <c r="C109" s="23" t="s">
        <v>66</v>
      </c>
      <c r="D109" s="8"/>
    </row>
    <row r="110" spans="1:4">
      <c r="A110" s="22" t="s">
        <v>55</v>
      </c>
      <c r="B110" s="8" t="s">
        <v>59</v>
      </c>
      <c r="C110" s="23" t="s">
        <v>67</v>
      </c>
      <c r="D110" s="8"/>
    </row>
    <row r="111" spans="1:4">
      <c r="A111" s="22" t="s">
        <v>56</v>
      </c>
      <c r="B111" s="8" t="s">
        <v>60</v>
      </c>
      <c r="C111" s="23" t="s">
        <v>68</v>
      </c>
      <c r="D111" s="8"/>
    </row>
    <row r="112" spans="1:4">
      <c r="A112" s="22" t="s">
        <v>61</v>
      </c>
      <c r="B112" s="8" t="s">
        <v>60</v>
      </c>
      <c r="C112" s="23" t="s">
        <v>69</v>
      </c>
      <c r="D112" s="8"/>
    </row>
    <row r="113" spans="1:4">
      <c r="A113" s="22" t="s">
        <v>62</v>
      </c>
      <c r="B113" s="8" t="s">
        <v>59</v>
      </c>
      <c r="C113" s="23" t="s">
        <v>70</v>
      </c>
      <c r="D113" s="8"/>
    </row>
    <row r="114" spans="1:4">
      <c r="A114" s="22" t="s">
        <v>63</v>
      </c>
      <c r="B114" s="8" t="s">
        <v>58</v>
      </c>
      <c r="C114" s="23" t="s">
        <v>71</v>
      </c>
      <c r="D114" s="8"/>
    </row>
    <row r="115" spans="1:4">
      <c r="A115" s="22" t="s">
        <v>64</v>
      </c>
      <c r="B115" s="8" t="s">
        <v>65</v>
      </c>
      <c r="C115" s="23" t="s">
        <v>72</v>
      </c>
      <c r="D115" s="8"/>
    </row>
    <row r="117" spans="1:4">
      <c r="D117" t="s">
        <v>189</v>
      </c>
    </row>
    <row r="118" spans="1:4">
      <c r="D118">
        <f>MATCH("Aditya",A108:A115,0)</f>
        <v>8</v>
      </c>
    </row>
    <row r="119" spans="1:4">
      <c r="D119" t="s">
        <v>190</v>
      </c>
    </row>
    <row r="120" spans="1:4">
      <c r="D120">
        <f>MATCH("Course",A108:C108,0)</f>
        <v>2</v>
      </c>
    </row>
  </sheetData>
  <sortState xmlns:xlrd2="http://schemas.microsoft.com/office/spreadsheetml/2017/richdata2" ref="L44:P60">
    <sortCondition ref="P44:P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901F-6853-42F6-A7C6-A7A3D5853383}">
  <dimension ref="A1:R25"/>
  <sheetViews>
    <sheetView zoomScale="121" workbookViewId="0">
      <selection activeCell="M23" sqref="M23"/>
    </sheetView>
  </sheetViews>
  <sheetFormatPr defaultRowHeight="14.4"/>
  <cols>
    <col min="5" max="5" width="17" customWidth="1"/>
    <col min="6" max="6" width="13.33203125" customWidth="1"/>
    <col min="7" max="7" width="29.88671875" customWidth="1"/>
    <col min="8" max="8" width="27.33203125" customWidth="1"/>
    <col min="9" max="9" width="17" customWidth="1"/>
    <col min="11" max="11" width="14.44140625" customWidth="1"/>
    <col min="13" max="13" width="15.21875" customWidth="1"/>
    <col min="17" max="17" width="14.88671875" customWidth="1"/>
  </cols>
  <sheetData>
    <row r="1" spans="1:18">
      <c r="A1" s="18" t="s">
        <v>0</v>
      </c>
      <c r="B1" s="18" t="s">
        <v>1</v>
      </c>
      <c r="C1" s="18" t="s">
        <v>2</v>
      </c>
      <c r="D1" s="18" t="s">
        <v>3</v>
      </c>
    </row>
    <row r="2" spans="1:18">
      <c r="A2" s="12" t="s">
        <v>4</v>
      </c>
      <c r="B2" s="12" t="s">
        <v>5</v>
      </c>
      <c r="C2" s="12" t="s">
        <v>6</v>
      </c>
      <c r="D2" s="12" t="s">
        <v>7</v>
      </c>
      <c r="F2" s="7" t="s">
        <v>0</v>
      </c>
      <c r="G2" s="8" t="s">
        <v>20</v>
      </c>
      <c r="H2" t="s">
        <v>208</v>
      </c>
      <c r="K2" t="s">
        <v>153</v>
      </c>
    </row>
    <row r="3" spans="1:18">
      <c r="A3" s="12" t="s">
        <v>8</v>
      </c>
      <c r="B3" s="12" t="s">
        <v>9</v>
      </c>
      <c r="C3" s="12" t="s">
        <v>10</v>
      </c>
      <c r="D3" s="12" t="s">
        <v>11</v>
      </c>
      <c r="F3" s="7" t="s">
        <v>41</v>
      </c>
      <c r="G3" s="8" t="str">
        <f>VLOOKUP(G2,A1:D10,4,0)</f>
        <v>$10,523</v>
      </c>
    </row>
    <row r="4" spans="1:18">
      <c r="A4" s="12" t="s">
        <v>12</v>
      </c>
      <c r="B4" s="12" t="s">
        <v>13</v>
      </c>
      <c r="C4" s="12" t="s">
        <v>14</v>
      </c>
      <c r="D4" s="12" t="s">
        <v>15</v>
      </c>
      <c r="R4" s="28" t="e">
        <f>INDEX(A1:D10,MATCH(N5,A1:A10,0),MATCH(N6,A1:D1,0))</f>
        <v>#N/A</v>
      </c>
    </row>
    <row r="5" spans="1:18">
      <c r="A5" s="12" t="s">
        <v>16</v>
      </c>
      <c r="B5" s="12" t="s">
        <v>17</v>
      </c>
      <c r="C5" s="12" t="s">
        <v>18</v>
      </c>
      <c r="D5" s="12" t="s">
        <v>19</v>
      </c>
      <c r="F5" s="7" t="s">
        <v>40</v>
      </c>
      <c r="G5" s="8" t="s">
        <v>1</v>
      </c>
      <c r="H5" t="s">
        <v>185</v>
      </c>
      <c r="R5" s="28"/>
    </row>
    <row r="6" spans="1:18">
      <c r="A6" s="12" t="s">
        <v>20</v>
      </c>
      <c r="B6" s="12" t="s">
        <v>21</v>
      </c>
      <c r="C6" s="12" t="s">
        <v>22</v>
      </c>
      <c r="D6" s="12" t="s">
        <v>23</v>
      </c>
      <c r="F6" s="7" t="s">
        <v>42</v>
      </c>
      <c r="G6" s="8">
        <f>MATCH(G5,A1:D1,0)</f>
        <v>2</v>
      </c>
      <c r="H6" t="str">
        <f>VLOOKUP(G2,A1:D10,MATCH(G5,A1:D1,0),0)</f>
        <v>$10,699</v>
      </c>
    </row>
    <row r="7" spans="1:18">
      <c r="A7" s="12" t="s">
        <v>24</v>
      </c>
      <c r="B7" s="12" t="s">
        <v>25</v>
      </c>
      <c r="C7" s="12" t="s">
        <v>26</v>
      </c>
      <c r="D7" s="12" t="s">
        <v>27</v>
      </c>
      <c r="H7" t="str">
        <f>VLOOKUP(G2,A1:D10,G6,0)</f>
        <v>$10,699</v>
      </c>
    </row>
    <row r="8" spans="1:18">
      <c r="A8" s="12" t="s">
        <v>28</v>
      </c>
      <c r="B8" s="12" t="s">
        <v>29</v>
      </c>
      <c r="C8" s="12" t="s">
        <v>30</v>
      </c>
      <c r="D8" s="12" t="s">
        <v>31</v>
      </c>
    </row>
    <row r="9" spans="1:18">
      <c r="A9" s="12" t="s">
        <v>32</v>
      </c>
      <c r="B9" s="12" t="s">
        <v>33</v>
      </c>
      <c r="C9" s="12" t="s">
        <v>34</v>
      </c>
      <c r="D9" s="12" t="s">
        <v>35</v>
      </c>
      <c r="F9" s="1"/>
    </row>
    <row r="10" spans="1:18">
      <c r="A10" s="12" t="s">
        <v>36</v>
      </c>
      <c r="B10" s="12" t="s">
        <v>37</v>
      </c>
      <c r="C10" s="12" t="s">
        <v>38</v>
      </c>
      <c r="D10" s="12" t="s">
        <v>39</v>
      </c>
      <c r="F10" s="7" t="s">
        <v>0</v>
      </c>
      <c r="G10" s="8" t="s">
        <v>16</v>
      </c>
      <c r="H10" t="s">
        <v>51</v>
      </c>
      <c r="I10" s="12"/>
      <c r="J10" s="8"/>
    </row>
    <row r="11" spans="1:18">
      <c r="F11" s="7" t="s">
        <v>40</v>
      </c>
      <c r="G11" s="8" t="s">
        <v>2</v>
      </c>
      <c r="H11" t="s">
        <v>52</v>
      </c>
      <c r="I11" s="12"/>
      <c r="J11" s="8"/>
    </row>
    <row r="12" spans="1:18">
      <c r="F12" s="7" t="s">
        <v>41</v>
      </c>
      <c r="G12" s="8" t="str">
        <f>INDEX(A1:D10,MATCH(G10,A1:A10,0),MATCH(G11,A1:D1,0))</f>
        <v>$6,786</v>
      </c>
      <c r="H12" s="24" t="s">
        <v>158</v>
      </c>
      <c r="I12" s="12"/>
      <c r="J12" s="8"/>
    </row>
    <row r="14" spans="1:18">
      <c r="A14" s="18" t="s">
        <v>0</v>
      </c>
      <c r="B14" s="12" t="s">
        <v>4</v>
      </c>
      <c r="C14" s="12" t="s">
        <v>8</v>
      </c>
      <c r="D14" s="12" t="s">
        <v>12</v>
      </c>
      <c r="E14" s="12" t="s">
        <v>16</v>
      </c>
      <c r="F14" s="12" t="s">
        <v>20</v>
      </c>
      <c r="G14" s="12" t="s">
        <v>24</v>
      </c>
      <c r="H14" s="12" t="s">
        <v>28</v>
      </c>
      <c r="I14" s="12" t="s">
        <v>32</v>
      </c>
      <c r="J14" s="12" t="s">
        <v>36</v>
      </c>
    </row>
    <row r="15" spans="1:18">
      <c r="A15" s="18" t="s">
        <v>1</v>
      </c>
      <c r="B15" s="12" t="s">
        <v>5</v>
      </c>
      <c r="C15" s="12" t="s">
        <v>9</v>
      </c>
      <c r="D15" s="12" t="s">
        <v>13</v>
      </c>
      <c r="E15" s="12" t="s">
        <v>17</v>
      </c>
      <c r="F15" s="12" t="s">
        <v>21</v>
      </c>
      <c r="G15" s="12" t="s">
        <v>25</v>
      </c>
      <c r="H15" s="12" t="s">
        <v>29</v>
      </c>
      <c r="I15" s="12" t="s">
        <v>33</v>
      </c>
      <c r="J15" s="12" t="s">
        <v>37</v>
      </c>
    </row>
    <row r="16" spans="1:18">
      <c r="A16" s="18" t="s">
        <v>2</v>
      </c>
      <c r="B16" s="12" t="s">
        <v>6</v>
      </c>
      <c r="C16" s="12" t="s">
        <v>10</v>
      </c>
      <c r="D16" s="12" t="s">
        <v>14</v>
      </c>
      <c r="E16" s="12" t="s">
        <v>18</v>
      </c>
      <c r="F16" s="12" t="s">
        <v>22</v>
      </c>
      <c r="G16" s="12" t="s">
        <v>26</v>
      </c>
      <c r="H16" s="12" t="s">
        <v>30</v>
      </c>
      <c r="I16" s="12" t="s">
        <v>34</v>
      </c>
      <c r="J16" s="12" t="s">
        <v>38</v>
      </c>
    </row>
    <row r="17" spans="1:13">
      <c r="A17" s="18" t="s">
        <v>3</v>
      </c>
      <c r="B17" s="12" t="s">
        <v>7</v>
      </c>
      <c r="C17" s="12" t="s">
        <v>11</v>
      </c>
      <c r="D17" s="12" t="s">
        <v>15</v>
      </c>
      <c r="E17" s="12" t="s">
        <v>19</v>
      </c>
      <c r="F17" s="12" t="s">
        <v>23</v>
      </c>
      <c r="G17" s="12" t="s">
        <v>27</v>
      </c>
      <c r="H17" s="12" t="s">
        <v>31</v>
      </c>
      <c r="I17" s="12" t="s">
        <v>35</v>
      </c>
      <c r="J17" s="12" t="s">
        <v>39</v>
      </c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20" spans="1:13" ht="28.8">
      <c r="F20" s="12" t="s">
        <v>121</v>
      </c>
      <c r="G20" s="8"/>
      <c r="H20" s="1" t="s">
        <v>161</v>
      </c>
    </row>
    <row r="22" spans="1:13">
      <c r="E22" s="35" t="s">
        <v>159</v>
      </c>
      <c r="F22" s="35" t="str">
        <f>HLOOKUP("Sita",A14:J17,4,0)</f>
        <v>$10,992</v>
      </c>
      <c r="I22" s="30" t="s">
        <v>157</v>
      </c>
      <c r="J22" s="30" t="s">
        <v>16</v>
      </c>
      <c r="K22" s="30" t="s">
        <v>159</v>
      </c>
      <c r="L22" s="30"/>
      <c r="M22" t="str">
        <f>HLOOKUP(J22,A14:J17,J24,0)</f>
        <v>$12,560</v>
      </c>
    </row>
    <row r="23" spans="1:13">
      <c r="E23" s="35" t="s">
        <v>160</v>
      </c>
      <c r="F23" s="35" t="str">
        <f>HLOOKUP("Sita",A14:J17,MATCH("Mar",A14:A17,0),0)</f>
        <v>$10,992</v>
      </c>
      <c r="G23" t="s">
        <v>186</v>
      </c>
      <c r="I23" s="30" t="s">
        <v>162</v>
      </c>
      <c r="J23" s="30" t="s">
        <v>3</v>
      </c>
      <c r="K23" s="30" t="s">
        <v>160</v>
      </c>
      <c r="L23" s="30"/>
      <c r="M23" t="str">
        <f>HLOOKUP(J22,A14:J17,MATCH(J23,A14:A17,0),0)</f>
        <v>$12,560</v>
      </c>
    </row>
    <row r="24" spans="1:13">
      <c r="E24" s="35" t="s">
        <v>158</v>
      </c>
      <c r="F24" s="35" t="str">
        <f>INDEX(A14:J17,MATCH("Mar",A14:A17,0),MATCH("sita",A14:J14,0))</f>
        <v>$10,992</v>
      </c>
      <c r="I24" s="30" t="s">
        <v>163</v>
      </c>
      <c r="J24" s="30">
        <f>MATCH(J23,A14:A17)</f>
        <v>4</v>
      </c>
      <c r="K24" s="30" t="s">
        <v>158</v>
      </c>
      <c r="L24" s="30"/>
      <c r="M24" t="str">
        <f>INDEX(A14:J17,MATCH(J23,A14:A17,0),MATCH(J22,A14:J14,0))</f>
        <v>$12,560</v>
      </c>
    </row>
    <row r="25" spans="1:13">
      <c r="E25" s="29" t="s">
        <v>154</v>
      </c>
      <c r="F25" s="29" t="str">
        <f>_xlfn.XLOOKUP("Sita",A14:J14,A17:J17,"IFN",0)</f>
        <v>$10,992</v>
      </c>
    </row>
  </sheetData>
  <dataValidations count="6">
    <dataValidation type="list" allowBlank="1" showInputMessage="1" showErrorMessage="1" sqref="G10 G2 J10 N5" xr:uid="{344BD161-6882-46C5-9B38-4A6F600D5B20}">
      <formula1>$A$2:$A$10</formula1>
    </dataValidation>
    <dataValidation type="list" allowBlank="1" showInputMessage="1" showErrorMessage="1" sqref="G11 G5" xr:uid="{BD37B5BB-7793-456A-854E-ED97993413EA}">
      <formula1>$B$1:$D$1</formula1>
    </dataValidation>
    <dataValidation type="list" allowBlank="1" showInputMessage="1" showErrorMessage="1" sqref="J11" xr:uid="{252254DA-E00E-4DC0-8FED-F1C5AE17C374}">
      <formula1>$L$8:$L$11</formula1>
    </dataValidation>
    <dataValidation type="list" allowBlank="1" showInputMessage="1" showErrorMessage="1" sqref="N6" xr:uid="{6B4F2279-63AB-478F-96FA-919724A63A97}">
      <formula1>$A$1:$D$1</formula1>
    </dataValidation>
    <dataValidation type="list" allowBlank="1" showInputMessage="1" showErrorMessage="1" sqref="J22" xr:uid="{F1F6D45F-9CFA-4524-B07B-639A9E10A395}">
      <formula1>$A$14:$J$14</formula1>
    </dataValidation>
    <dataValidation type="list" allowBlank="1" showInputMessage="1" showErrorMessage="1" sqref="J23" xr:uid="{679632BC-1AD6-4D63-ADF0-BED4468224C7}">
      <formula1>$A$14:$A$17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EF23-9F0A-46BB-9870-A36DBE1895A7}">
  <dimension ref="A1:R25"/>
  <sheetViews>
    <sheetView topLeftCell="E20" zoomScale="167" workbookViewId="0">
      <selection activeCell="J24" sqref="J24"/>
    </sheetView>
  </sheetViews>
  <sheetFormatPr defaultRowHeight="14.4"/>
  <sheetData>
    <row r="1" spans="1:18">
      <c r="A1" s="18" t="s">
        <v>0</v>
      </c>
      <c r="B1" s="18" t="s">
        <v>1</v>
      </c>
      <c r="C1" s="18" t="s">
        <v>2</v>
      </c>
      <c r="D1" s="18" t="s">
        <v>3</v>
      </c>
    </row>
    <row r="2" spans="1:18">
      <c r="A2" s="12" t="s">
        <v>4</v>
      </c>
      <c r="B2" s="12" t="s">
        <v>5</v>
      </c>
      <c r="C2" s="12" t="s">
        <v>6</v>
      </c>
      <c r="D2" s="12" t="s">
        <v>7</v>
      </c>
      <c r="F2" s="7" t="s">
        <v>0</v>
      </c>
      <c r="G2" s="8" t="s">
        <v>24</v>
      </c>
      <c r="H2" t="s">
        <v>151</v>
      </c>
      <c r="J2" t="s">
        <v>153</v>
      </c>
    </row>
    <row r="3" spans="1:18">
      <c r="A3" s="12" t="s">
        <v>8</v>
      </c>
      <c r="B3" s="12" t="s">
        <v>9</v>
      </c>
      <c r="C3" s="12" t="s">
        <v>10</v>
      </c>
      <c r="D3" s="12" t="s">
        <v>11</v>
      </c>
      <c r="F3" s="7" t="s">
        <v>41</v>
      </c>
      <c r="G3" s="8" t="str">
        <f>VLOOKUP(G2,A1:D10,MATCH("Mar",A1:D1,0),0)</f>
        <v>$8,902</v>
      </c>
    </row>
    <row r="4" spans="1:18">
      <c r="A4" s="12" t="s">
        <v>12</v>
      </c>
      <c r="B4" s="12" t="s">
        <v>13</v>
      </c>
      <c r="C4" s="12" t="s">
        <v>14</v>
      </c>
      <c r="D4" s="12" t="s">
        <v>15</v>
      </c>
      <c r="R4" s="28" t="e">
        <f>INDEX(A1:D10,MATCH(N5,A1:A10,0),MATCH(N6,A1:D1,0))</f>
        <v>#N/A</v>
      </c>
    </row>
    <row r="5" spans="1:18">
      <c r="A5" s="12" t="s">
        <v>16</v>
      </c>
      <c r="B5" s="12" t="s">
        <v>17</v>
      </c>
      <c r="C5" s="12" t="s">
        <v>18</v>
      </c>
      <c r="D5" s="12" t="s">
        <v>19</v>
      </c>
      <c r="F5" s="7" t="s">
        <v>40</v>
      </c>
      <c r="G5" s="8" t="s">
        <v>1</v>
      </c>
      <c r="H5" t="s">
        <v>185</v>
      </c>
      <c r="R5" s="28"/>
    </row>
    <row r="6" spans="1:18" ht="28.8">
      <c r="A6" s="12" t="s">
        <v>20</v>
      </c>
      <c r="B6" s="12" t="s">
        <v>21</v>
      </c>
      <c r="C6" s="12" t="s">
        <v>22</v>
      </c>
      <c r="D6" s="12" t="s">
        <v>23</v>
      </c>
      <c r="F6" s="7" t="s">
        <v>42</v>
      </c>
      <c r="G6" s="8">
        <f>MATCH(G5,A1:D1,0)</f>
        <v>2</v>
      </c>
      <c r="H6" t="str">
        <f>VLOOKUP(G2,A1:D10,MATCH(G5,A1:D1,0),0)</f>
        <v>$10,404</v>
      </c>
    </row>
    <row r="7" spans="1:18">
      <c r="A7" s="12" t="s">
        <v>24</v>
      </c>
      <c r="B7" s="12" t="s">
        <v>25</v>
      </c>
      <c r="C7" s="12" t="s">
        <v>26</v>
      </c>
      <c r="D7" s="12" t="s">
        <v>27</v>
      </c>
      <c r="H7" t="str">
        <f>VLOOKUP(G2,A1:D10,G6,0)</f>
        <v>$10,404</v>
      </c>
    </row>
    <row r="8" spans="1:18">
      <c r="A8" s="12" t="s">
        <v>28</v>
      </c>
      <c r="B8" s="12" t="s">
        <v>29</v>
      </c>
      <c r="C8" s="12" t="s">
        <v>30</v>
      </c>
      <c r="D8" s="12" t="s">
        <v>31</v>
      </c>
    </row>
    <row r="9" spans="1:18">
      <c r="A9" s="12" t="s">
        <v>32</v>
      </c>
      <c r="B9" s="12" t="s">
        <v>33</v>
      </c>
      <c r="C9" s="12" t="s">
        <v>34</v>
      </c>
      <c r="D9" s="12" t="s">
        <v>35</v>
      </c>
      <c r="F9" s="1"/>
    </row>
    <row r="10" spans="1:18">
      <c r="A10" s="12" t="s">
        <v>36</v>
      </c>
      <c r="B10" s="12" t="s">
        <v>37</v>
      </c>
      <c r="C10" s="12" t="s">
        <v>38</v>
      </c>
      <c r="D10" s="12" t="s">
        <v>39</v>
      </c>
      <c r="F10" s="7" t="s">
        <v>0</v>
      </c>
      <c r="G10" s="8" t="s">
        <v>16</v>
      </c>
      <c r="H10" t="s">
        <v>51</v>
      </c>
      <c r="I10" s="12"/>
      <c r="J10" s="8"/>
    </row>
    <row r="11" spans="1:18">
      <c r="F11" s="7" t="s">
        <v>40</v>
      </c>
      <c r="G11" s="8" t="s">
        <v>2</v>
      </c>
      <c r="H11" t="s">
        <v>52</v>
      </c>
      <c r="I11" s="12"/>
      <c r="J11" s="8"/>
    </row>
    <row r="12" spans="1:18">
      <c r="F12" s="7" t="s">
        <v>41</v>
      </c>
      <c r="G12" s="8" t="str">
        <f>INDEX(A1:D10,MATCH(G10,A1:A10,0),MATCH(G11,A1:D1,0))</f>
        <v>$6,786</v>
      </c>
      <c r="H12" s="24" t="s">
        <v>158</v>
      </c>
      <c r="I12" s="12"/>
      <c r="J12" s="8"/>
    </row>
    <row r="14" spans="1:18">
      <c r="A14" s="18" t="s">
        <v>0</v>
      </c>
      <c r="B14" s="12" t="s">
        <v>4</v>
      </c>
      <c r="C14" s="12" t="s">
        <v>8</v>
      </c>
      <c r="D14" s="12" t="s">
        <v>12</v>
      </c>
      <c r="E14" s="12" t="s">
        <v>16</v>
      </c>
      <c r="F14" s="12" t="s">
        <v>20</v>
      </c>
      <c r="G14" s="12" t="s">
        <v>24</v>
      </c>
      <c r="H14" s="12" t="s">
        <v>28</v>
      </c>
      <c r="I14" s="12" t="s">
        <v>32</v>
      </c>
      <c r="J14" s="12" t="s">
        <v>36</v>
      </c>
    </row>
    <row r="15" spans="1:18">
      <c r="A15" s="18" t="s">
        <v>1</v>
      </c>
      <c r="B15" s="12" t="s">
        <v>5</v>
      </c>
      <c r="C15" s="12" t="s">
        <v>9</v>
      </c>
      <c r="D15" s="12" t="s">
        <v>13</v>
      </c>
      <c r="E15" s="12" t="s">
        <v>17</v>
      </c>
      <c r="F15" s="12" t="s">
        <v>21</v>
      </c>
      <c r="G15" s="12" t="s">
        <v>25</v>
      </c>
      <c r="H15" s="12" t="s">
        <v>29</v>
      </c>
      <c r="I15" s="12" t="s">
        <v>33</v>
      </c>
      <c r="J15" s="12" t="s">
        <v>37</v>
      </c>
    </row>
    <row r="16" spans="1:18">
      <c r="A16" s="18" t="s">
        <v>2</v>
      </c>
      <c r="B16" s="12" t="s">
        <v>6</v>
      </c>
      <c r="C16" s="12" t="s">
        <v>10</v>
      </c>
      <c r="D16" s="12" t="s">
        <v>14</v>
      </c>
      <c r="E16" s="12" t="s">
        <v>18</v>
      </c>
      <c r="F16" s="12" t="s">
        <v>22</v>
      </c>
      <c r="G16" s="12" t="s">
        <v>26</v>
      </c>
      <c r="H16" s="12" t="s">
        <v>30</v>
      </c>
      <c r="I16" s="12" t="s">
        <v>34</v>
      </c>
      <c r="J16" s="12" t="s">
        <v>38</v>
      </c>
    </row>
    <row r="17" spans="1:12">
      <c r="A17" s="18" t="s">
        <v>3</v>
      </c>
      <c r="B17" s="12" t="s">
        <v>7</v>
      </c>
      <c r="C17" s="12" t="s">
        <v>11</v>
      </c>
      <c r="D17" s="12" t="s">
        <v>15</v>
      </c>
      <c r="E17" s="12" t="s">
        <v>19</v>
      </c>
      <c r="F17" s="12" t="s">
        <v>23</v>
      </c>
      <c r="G17" s="12" t="s">
        <v>27</v>
      </c>
      <c r="H17" s="12" t="s">
        <v>31</v>
      </c>
      <c r="I17" s="12" t="s">
        <v>35</v>
      </c>
      <c r="J17" s="12" t="s">
        <v>39</v>
      </c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</row>
    <row r="20" spans="1:12" ht="100.8">
      <c r="F20" s="12" t="s">
        <v>121</v>
      </c>
      <c r="G20" s="8"/>
      <c r="H20" s="1" t="s">
        <v>161</v>
      </c>
    </row>
    <row r="22" spans="1:12">
      <c r="E22" s="35" t="s">
        <v>159</v>
      </c>
      <c r="F22" s="35"/>
      <c r="I22" s="30" t="s">
        <v>157</v>
      </c>
      <c r="J22" s="30"/>
      <c r="K22" s="30" t="s">
        <v>159</v>
      </c>
      <c r="L22" s="30"/>
    </row>
    <row r="23" spans="1:12">
      <c r="E23" s="35" t="s">
        <v>160</v>
      </c>
      <c r="F23" s="35"/>
      <c r="G23" t="s">
        <v>186</v>
      </c>
      <c r="I23" s="30" t="s">
        <v>162</v>
      </c>
      <c r="J23" s="30"/>
      <c r="K23" s="30" t="s">
        <v>160</v>
      </c>
      <c r="L23" s="30"/>
    </row>
    <row r="24" spans="1:12">
      <c r="E24" s="35" t="s">
        <v>158</v>
      </c>
      <c r="F24" s="35" t="str">
        <f>INDEX(A14:J17,MATCH("Mar",A14:A17,0),MATCH("sita",A14:J14,0))</f>
        <v>$10,992</v>
      </c>
      <c r="I24" s="30" t="s">
        <v>163</v>
      </c>
      <c r="J24" s="30"/>
      <c r="K24" s="30" t="s">
        <v>158</v>
      </c>
      <c r="L24" s="30"/>
    </row>
    <row r="25" spans="1:12">
      <c r="E25" s="29" t="s">
        <v>154</v>
      </c>
      <c r="F25" s="29" t="str">
        <f>_xlfn.XLOOKUP("Sita",A14:J14,A17:J17,"IFN",0)</f>
        <v>$10,992</v>
      </c>
    </row>
  </sheetData>
  <dataValidations count="6">
    <dataValidation type="list" allowBlank="1" showInputMessage="1" showErrorMessage="1" sqref="J23" xr:uid="{EE3B9436-56DD-40B9-A154-1EB8EE6A7580}">
      <formula1>$A$14:$A$17</formula1>
    </dataValidation>
    <dataValidation type="list" allowBlank="1" showInputMessage="1" showErrorMessage="1" sqref="J22" xr:uid="{197A3997-1856-4BCD-A99E-7953DCBA8547}">
      <formula1>$A$14:$J$14</formula1>
    </dataValidation>
    <dataValidation type="list" allowBlank="1" showInputMessage="1" showErrorMessage="1" sqref="N6" xr:uid="{9856092E-3445-4F10-8900-ABC18BEB3FF6}">
      <formula1>$A$1:$D$1</formula1>
    </dataValidation>
    <dataValidation type="list" allowBlank="1" showInputMessage="1" showErrorMessage="1" sqref="J11" xr:uid="{17A93159-6F96-45AD-872E-FEA2BD59D4E4}">
      <formula1>$L$8:$L$11</formula1>
    </dataValidation>
    <dataValidation type="list" allowBlank="1" showInputMessage="1" showErrorMessage="1" sqref="G11 G5" xr:uid="{41BD66D6-FB94-47EF-87FC-B2C70E05EC33}">
      <formula1>$B$1:$D$1</formula1>
    </dataValidation>
    <dataValidation type="list" allowBlank="1" showInputMessage="1" showErrorMessage="1" sqref="G10 G2 J10 N5" xr:uid="{995F7AD2-8740-4768-A21E-B21314CD3DE4}">
      <formula1>$A$2:$A$10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CAF8-0A51-4DFF-BD12-80853FEB45D6}">
  <dimension ref="A1:Q24"/>
  <sheetViews>
    <sheetView topLeftCell="J1" zoomScale="129" zoomScaleNormal="129" workbookViewId="0">
      <selection activeCell="L12" sqref="L12"/>
    </sheetView>
  </sheetViews>
  <sheetFormatPr defaultRowHeight="14.4"/>
  <cols>
    <col min="8" max="8" width="13.6640625" customWidth="1"/>
    <col min="10" max="10" width="10.33203125" customWidth="1"/>
    <col min="11" max="11" width="11.21875" customWidth="1"/>
    <col min="12" max="12" width="25" customWidth="1"/>
    <col min="13" max="13" width="14.33203125" customWidth="1"/>
  </cols>
  <sheetData>
    <row r="1" spans="1:17">
      <c r="A1" s="18" t="s">
        <v>0</v>
      </c>
      <c r="B1" s="18" t="s">
        <v>41</v>
      </c>
      <c r="C1" s="18" t="s">
        <v>73</v>
      </c>
      <c r="D1" s="18" t="s">
        <v>74</v>
      </c>
      <c r="E1" s="18" t="s">
        <v>75</v>
      </c>
      <c r="F1">
        <v>1</v>
      </c>
    </row>
    <row r="2" spans="1:17">
      <c r="A2" s="12" t="s">
        <v>4</v>
      </c>
      <c r="B2" s="26">
        <v>171900</v>
      </c>
      <c r="C2" s="12" t="s">
        <v>76</v>
      </c>
      <c r="D2" s="27">
        <v>0.05</v>
      </c>
      <c r="E2" s="12">
        <v>2024</v>
      </c>
      <c r="F2" s="1">
        <v>2</v>
      </c>
      <c r="H2" t="s">
        <v>164</v>
      </c>
      <c r="I2" s="6"/>
      <c r="L2" t="s">
        <v>209</v>
      </c>
    </row>
    <row r="3" spans="1:17">
      <c r="A3" s="12" t="s">
        <v>8</v>
      </c>
      <c r="B3" s="26">
        <v>205350</v>
      </c>
      <c r="C3" s="12" t="s">
        <v>77</v>
      </c>
      <c r="D3" s="27">
        <v>7.0000000000000007E-2</v>
      </c>
      <c r="E3" s="12">
        <v>2024</v>
      </c>
      <c r="F3">
        <v>3</v>
      </c>
      <c r="N3" s="31" t="s">
        <v>155</v>
      </c>
      <c r="O3" s="31" t="s">
        <v>156</v>
      </c>
      <c r="P3" s="31" t="s">
        <v>158</v>
      </c>
      <c r="Q3" s="31" t="s">
        <v>154</v>
      </c>
    </row>
    <row r="4" spans="1:17">
      <c r="A4" s="12" t="s">
        <v>12</v>
      </c>
      <c r="B4" s="26">
        <v>151200</v>
      </c>
      <c r="C4" s="12" t="s">
        <v>76</v>
      </c>
      <c r="D4" s="27">
        <v>0.05</v>
      </c>
      <c r="E4" s="12">
        <v>2024</v>
      </c>
      <c r="F4" s="1">
        <v>4</v>
      </c>
      <c r="H4" s="31" t="s">
        <v>155</v>
      </c>
      <c r="I4" s="31" t="str">
        <f>VLOOKUP("Renu",Mytable,3,0)</f>
        <v>Silver</v>
      </c>
      <c r="K4" t="s">
        <v>165</v>
      </c>
      <c r="L4" t="s">
        <v>4</v>
      </c>
      <c r="M4" s="31" t="s">
        <v>41</v>
      </c>
    </row>
    <row r="5" spans="1:17">
      <c r="A5" s="12" t="s">
        <v>16</v>
      </c>
      <c r="B5" s="26">
        <v>119850</v>
      </c>
      <c r="C5" s="12" t="s">
        <v>76</v>
      </c>
      <c r="D5" s="27">
        <v>0.05</v>
      </c>
      <c r="E5" s="12">
        <v>2022</v>
      </c>
      <c r="F5">
        <v>5</v>
      </c>
      <c r="H5" s="31" t="s">
        <v>156</v>
      </c>
      <c r="I5" s="31" t="str">
        <f>VLOOKUP(A9,Mytable,MATCH("Level",A1:E1,0),0)</f>
        <v>Silver</v>
      </c>
      <c r="K5" t="s">
        <v>166</v>
      </c>
      <c r="L5" t="s">
        <v>75</v>
      </c>
      <c r="M5" s="31" t="s">
        <v>73</v>
      </c>
    </row>
    <row r="6" spans="1:17">
      <c r="A6" s="12" t="s">
        <v>20</v>
      </c>
      <c r="B6" s="26">
        <v>89450</v>
      </c>
      <c r="C6" s="12" t="s">
        <v>78</v>
      </c>
      <c r="D6" s="27">
        <v>0.03</v>
      </c>
      <c r="E6" s="12">
        <v>2021</v>
      </c>
      <c r="F6" s="1">
        <v>6</v>
      </c>
      <c r="H6" s="31" t="s">
        <v>158</v>
      </c>
      <c r="I6" s="32" t="str">
        <f>INDEX(Mytable,MATCH("Renu",A1:A10,0),MATCH("Level",A1:E1,0))</f>
        <v>Silver</v>
      </c>
      <c r="K6" t="s">
        <v>167</v>
      </c>
      <c r="L6">
        <f>MATCH(L5,A1:E1)</f>
        <v>5</v>
      </c>
      <c r="M6" s="31" t="s">
        <v>74</v>
      </c>
    </row>
    <row r="7" spans="1:17">
      <c r="A7" s="12" t="s">
        <v>24</v>
      </c>
      <c r="B7" s="26">
        <v>124500</v>
      </c>
      <c r="C7" s="12" t="s">
        <v>76</v>
      </c>
      <c r="D7" s="27">
        <v>0.05</v>
      </c>
      <c r="E7" s="12">
        <v>2022</v>
      </c>
      <c r="F7">
        <v>7</v>
      </c>
      <c r="K7" t="s">
        <v>168</v>
      </c>
      <c r="M7" s="31" t="s">
        <v>75</v>
      </c>
    </row>
    <row r="8" spans="1:17">
      <c r="A8" s="12" t="s">
        <v>28</v>
      </c>
      <c r="B8" s="26">
        <v>131100</v>
      </c>
      <c r="C8" s="12" t="s">
        <v>76</v>
      </c>
      <c r="D8" s="27">
        <v>0.05</v>
      </c>
      <c r="E8" s="12">
        <v>2023</v>
      </c>
      <c r="F8" s="1">
        <v>8</v>
      </c>
      <c r="K8" t="s">
        <v>169</v>
      </c>
    </row>
    <row r="9" spans="1:17">
      <c r="A9" s="12" t="s">
        <v>32</v>
      </c>
      <c r="B9" s="26">
        <v>55300</v>
      </c>
      <c r="C9" s="12" t="s">
        <v>78</v>
      </c>
      <c r="D9" s="27">
        <v>0.03</v>
      </c>
      <c r="E9" s="12">
        <v>2019</v>
      </c>
      <c r="F9">
        <v>9</v>
      </c>
    </row>
    <row r="10" spans="1:17">
      <c r="A10" s="12" t="s">
        <v>36</v>
      </c>
      <c r="B10" s="26">
        <v>201500</v>
      </c>
      <c r="C10" s="12" t="s">
        <v>77</v>
      </c>
      <c r="D10" s="27">
        <v>7.0000000000000007E-2</v>
      </c>
      <c r="E10" s="12">
        <v>2024</v>
      </c>
      <c r="F10" s="1">
        <v>10</v>
      </c>
    </row>
    <row r="11" spans="1:17">
      <c r="I11" s="6"/>
    </row>
    <row r="16" spans="1:17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</sheetData>
  <sortState xmlns:xlrd2="http://schemas.microsoft.com/office/spreadsheetml/2017/richdata2" ref="A16:A24">
    <sortCondition ref="A16:A24"/>
  </sortState>
  <dataValidations count="2">
    <dataValidation type="list" allowBlank="1" showInputMessage="1" showErrorMessage="1" sqref="L4" xr:uid="{DF3CDE36-96FE-42B9-8735-62912B261490}">
      <formula1>$A$1:$A$10</formula1>
    </dataValidation>
    <dataValidation type="list" allowBlank="1" showInputMessage="1" showErrorMessage="1" sqref="L5" xr:uid="{F0055CF9-A529-4F0D-8728-16D7E6F9C344}">
      <formula1>$A$1:$E$1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F5B1-43AC-4DAE-9CAD-ADD597E4A587}">
  <dimension ref="A1:L16"/>
  <sheetViews>
    <sheetView zoomScale="139" zoomScaleNormal="165" workbookViewId="0">
      <selection activeCell="H14" sqref="H14:H16"/>
    </sheetView>
  </sheetViews>
  <sheetFormatPr defaultRowHeight="14.4"/>
  <cols>
    <col min="4" max="4" width="16.5546875" customWidth="1"/>
    <col min="8" max="8" width="23" customWidth="1"/>
    <col min="9" max="9" width="20.88671875" customWidth="1"/>
    <col min="12" max="12" width="22.77734375" customWidth="1"/>
  </cols>
  <sheetData>
    <row r="1" spans="1:12">
      <c r="A1" s="18" t="s">
        <v>40</v>
      </c>
      <c r="B1" s="18" t="s">
        <v>36</v>
      </c>
      <c r="C1" s="18" t="s">
        <v>79</v>
      </c>
      <c r="D1" s="18" t="s">
        <v>80</v>
      </c>
      <c r="E1" s="18" t="s">
        <v>81</v>
      </c>
      <c r="F1" s="18" t="s">
        <v>82</v>
      </c>
    </row>
    <row r="2" spans="1:12">
      <c r="A2" s="12" t="s">
        <v>1</v>
      </c>
      <c r="B2" s="12">
        <v>6140</v>
      </c>
      <c r="C2" s="12">
        <v>7672</v>
      </c>
      <c r="D2" s="12">
        <v>6678</v>
      </c>
      <c r="E2" s="12">
        <v>6758</v>
      </c>
      <c r="F2" s="12">
        <v>5147</v>
      </c>
      <c r="H2" t="s">
        <v>124</v>
      </c>
      <c r="I2" t="s">
        <v>147</v>
      </c>
      <c r="L2" t="s">
        <v>171</v>
      </c>
    </row>
    <row r="3" spans="1:12">
      <c r="A3" s="12" t="s">
        <v>2</v>
      </c>
      <c r="B3" s="12">
        <v>7980</v>
      </c>
      <c r="C3" s="12">
        <v>8217</v>
      </c>
      <c r="D3" s="12">
        <v>5582</v>
      </c>
      <c r="E3" s="12">
        <v>6660</v>
      </c>
      <c r="F3" s="12">
        <v>9919</v>
      </c>
      <c r="I3" t="s">
        <v>146</v>
      </c>
      <c r="L3" t="s">
        <v>172</v>
      </c>
    </row>
    <row r="4" spans="1:12">
      <c r="A4" s="12" t="s">
        <v>3</v>
      </c>
      <c r="B4" s="12">
        <v>5824</v>
      </c>
      <c r="C4" s="12">
        <v>7959</v>
      </c>
      <c r="D4" s="12">
        <v>5724</v>
      </c>
      <c r="E4" s="12">
        <v>6304</v>
      </c>
      <c r="F4" s="12">
        <v>7502</v>
      </c>
      <c r="I4" t="s">
        <v>158</v>
      </c>
      <c r="L4" t="s">
        <v>173</v>
      </c>
    </row>
    <row r="5" spans="1:12">
      <c r="A5" s="12" t="s">
        <v>83</v>
      </c>
      <c r="B5" s="12">
        <v>7397</v>
      </c>
      <c r="C5" s="12">
        <v>6571</v>
      </c>
      <c r="D5" s="12">
        <v>7781</v>
      </c>
      <c r="E5" s="12">
        <v>5955</v>
      </c>
      <c r="F5" s="12">
        <v>7236</v>
      </c>
      <c r="I5" t="s">
        <v>174</v>
      </c>
    </row>
    <row r="6" spans="1:12">
      <c r="A6" s="12" t="s">
        <v>84</v>
      </c>
      <c r="B6" s="12">
        <v>9776</v>
      </c>
      <c r="C6" s="12">
        <v>8455</v>
      </c>
      <c r="D6" s="12">
        <v>8280</v>
      </c>
      <c r="E6" s="12">
        <v>9693</v>
      </c>
      <c r="F6" s="12">
        <v>5364</v>
      </c>
    </row>
    <row r="7" spans="1:12">
      <c r="A7" s="12" t="s">
        <v>85</v>
      </c>
      <c r="B7" s="12">
        <v>9291</v>
      </c>
      <c r="C7" s="12">
        <v>7437</v>
      </c>
      <c r="D7" s="12">
        <v>8492</v>
      </c>
      <c r="E7" s="12">
        <v>7375</v>
      </c>
      <c r="F7" s="12">
        <v>9820</v>
      </c>
      <c r="H7" t="s">
        <v>129</v>
      </c>
      <c r="I7" t="s">
        <v>145</v>
      </c>
    </row>
    <row r="8" spans="1:12">
      <c r="I8" t="s">
        <v>170</v>
      </c>
    </row>
    <row r="11" spans="1:12">
      <c r="D11" t="s">
        <v>175</v>
      </c>
    </row>
    <row r="12" spans="1:12">
      <c r="D12" t="s">
        <v>170</v>
      </c>
    </row>
    <row r="13" spans="1:12">
      <c r="D13" t="s">
        <v>176</v>
      </c>
    </row>
    <row r="14" spans="1:12">
      <c r="D14" t="s">
        <v>154</v>
      </c>
    </row>
    <row r="15" spans="1:12">
      <c r="D15" t="s">
        <v>158</v>
      </c>
    </row>
    <row r="16" spans="1:12">
      <c r="D16" t="s">
        <v>152</v>
      </c>
    </row>
  </sheetData>
  <dataValidations count="4">
    <dataValidation type="list" allowBlank="1" showInputMessage="1" showErrorMessage="1" sqref="F21" xr:uid="{D6043E9F-0FB2-4A5F-A467-1786ACD37D1C}">
      <formula1>$B$1:$F$1</formula1>
    </dataValidation>
    <dataValidation type="list" allowBlank="1" showInputMessage="1" showErrorMessage="1" sqref="G21" xr:uid="{9E63ED15-3039-40F9-B102-A4A1B2755002}">
      <formula1>$A$2:$A$7</formula1>
    </dataValidation>
    <dataValidation type="list" allowBlank="1" showInputMessage="1" showErrorMessage="1" sqref="M2" xr:uid="{5748B3AA-88F7-4496-B7AB-6307CD362A67}">
      <formula1>$A$1:$A$7</formula1>
    </dataValidation>
    <dataValidation type="list" allowBlank="1" showInputMessage="1" showErrorMessage="1" sqref="M4" xr:uid="{A7FD0F01-3332-4333-AFC9-8F632EB5FE0D}">
      <formula1>$A$1:$F$1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Revision2 xlookup</vt:lpstr>
      <vt:lpstr>Index , match Definition</vt:lpstr>
      <vt:lpstr>Example1</vt:lpstr>
      <vt:lpstr>Sheet1</vt:lpstr>
      <vt:lpstr>Example2</vt:lpstr>
      <vt:lpstr>Example3</vt:lpstr>
      <vt:lpstr>Mytable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Rohan Lande</cp:lastModifiedBy>
  <dcterms:created xsi:type="dcterms:W3CDTF">2025-03-11T04:30:53Z</dcterms:created>
  <dcterms:modified xsi:type="dcterms:W3CDTF">2025-11-27T18:50:31Z</dcterms:modified>
</cp:coreProperties>
</file>