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e\OneDrive\Documents\Data_Analysis_1001\Advance - Excel - Practice_HW\"/>
    </mc:Choice>
  </mc:AlternateContent>
  <xr:revisionPtr revIDLastSave="0" documentId="13_ncr:1_{8B2EAFAA-A29C-4581-8009-4A6BE353EB89}" xr6:coauthVersionLast="47" xr6:coauthVersionMax="47" xr10:uidLastSave="{00000000-0000-0000-0000-000000000000}"/>
  <bookViews>
    <workbookView xWindow="-108" yWindow="-108" windowWidth="23256" windowHeight="12456" xr2:uid="{C4C25E01-6178-4B7D-81B7-8D113225742E}"/>
  </bookViews>
  <sheets>
    <sheet name="if home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O24" i="1"/>
  <c r="O23" i="1"/>
  <c r="J2" i="1" a="1"/>
  <c r="J2" i="1" s="1"/>
  <c r="L2" i="1"/>
  <c r="O3" i="1"/>
  <c r="O4" i="1"/>
  <c r="K46" i="1" s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 a="1"/>
  <c r="J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13" i="1" a="1"/>
  <c r="J13" i="1"/>
  <c r="J14" i="1" a="1"/>
  <c r="J14" i="1"/>
  <c r="J15" i="1" a="1"/>
  <c r="J15" i="1"/>
  <c r="J16" i="1" a="1"/>
  <c r="J16" i="1"/>
  <c r="J17" i="1" a="1"/>
  <c r="J17" i="1"/>
  <c r="J18" i="1" a="1"/>
  <c r="J18" i="1"/>
  <c r="J19" i="1" a="1"/>
  <c r="J19" i="1"/>
  <c r="J20" i="1" a="1"/>
  <c r="J20" i="1"/>
  <c r="J21" i="1" a="1"/>
  <c r="J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<sst xmlns="http://schemas.openxmlformats.org/spreadsheetml/2006/main" count="129" uniqueCount="83">
  <si>
    <t>Sr No.</t>
  </si>
  <si>
    <t>Product ID</t>
  </si>
  <si>
    <t>Segment</t>
  </si>
  <si>
    <t>Category</t>
  </si>
  <si>
    <t xml:space="preserve">Target  Sales </t>
  </si>
  <si>
    <t>sales</t>
  </si>
  <si>
    <t>OFF-BI-10003910</t>
  </si>
  <si>
    <t xml:space="preserve">Corporate </t>
  </si>
  <si>
    <t>Office Supplies</t>
  </si>
  <si>
    <t>OFF-ST-10000107</t>
  </si>
  <si>
    <t>Home Office</t>
  </si>
  <si>
    <t>Furniture</t>
  </si>
  <si>
    <t>OFF-PA-10002365</t>
  </si>
  <si>
    <t>TEC-PH-10001949</t>
  </si>
  <si>
    <t>FUR-CH-10000454</t>
  </si>
  <si>
    <t>Consumer</t>
  </si>
  <si>
    <t>OFF-AP-10002311</t>
  </si>
  <si>
    <t>Technology</t>
  </si>
  <si>
    <t>TEC-PH-10002275</t>
  </si>
  <si>
    <t>OFF-LA-10000240</t>
  </si>
  <si>
    <t>FUR-FU-10001487</t>
  </si>
  <si>
    <t>FUR-TA-10000577</t>
  </si>
  <si>
    <t>FUR-BO-10001798</t>
  </si>
  <si>
    <t>OFF-BI-10000756</t>
  </si>
  <si>
    <t>FUR-TA-10001539</t>
  </si>
  <si>
    <t>OFF-BI-10003656</t>
  </si>
  <si>
    <t>OFF-ST-10004186</t>
  </si>
  <si>
    <t>OFF-AP-10002892</t>
  </si>
  <si>
    <t>OFF-AR-10003056</t>
  </si>
  <si>
    <t>TEC-PH-10002033</t>
  </si>
  <si>
    <t>OFF-AR-10002833</t>
  </si>
  <si>
    <t>OFF-ST-10000760</t>
  </si>
  <si>
    <t>Condition 1</t>
  </si>
  <si>
    <t>Output</t>
  </si>
  <si>
    <t>Condition 2</t>
  </si>
  <si>
    <t>Commision</t>
  </si>
  <si>
    <t>Condition 3</t>
  </si>
  <si>
    <t>Sales&gt;Target</t>
  </si>
  <si>
    <t>Met</t>
  </si>
  <si>
    <t>Sales &gt;Target</t>
  </si>
  <si>
    <t>VeryGood</t>
  </si>
  <si>
    <t>Sales&lt;Target</t>
  </si>
  <si>
    <t>Not Met</t>
  </si>
  <si>
    <t>Sales &lt;Target</t>
  </si>
  <si>
    <t>10K to 15 K</t>
  </si>
  <si>
    <t>Good</t>
  </si>
  <si>
    <t>&lt;10K</t>
  </si>
  <si>
    <t>Average</t>
  </si>
  <si>
    <t>Condition 4</t>
  </si>
  <si>
    <t>10% of sales</t>
  </si>
  <si>
    <t>e.g. if sales is 10000, ans is 1000</t>
  </si>
  <si>
    <t>5% of sales</t>
  </si>
  <si>
    <t>Condition 5</t>
  </si>
  <si>
    <t>If Segment is consumer or category is Furniture then "ok" else "poor"</t>
  </si>
  <si>
    <t>corporate color:red</t>
  </si>
  <si>
    <t xml:space="preserve">color furniture with green </t>
  </si>
  <si>
    <t>fn+f4</t>
  </si>
  <si>
    <t xml:space="preserve">To repeat the action </t>
  </si>
  <si>
    <t>To delete the columns</t>
  </si>
  <si>
    <t>ctrl-</t>
  </si>
  <si>
    <t>alt+hoi</t>
  </si>
  <si>
    <t xml:space="preserve">select all table </t>
  </si>
  <si>
    <t>select some rows+ctrl+shift+pgdown</t>
  </si>
  <si>
    <t>add column no of product sold and price of each and then calculate total revenue</t>
  </si>
  <si>
    <t>color blue sales&gt;15000</t>
  </si>
  <si>
    <t>color the duplicates rows</t>
  </si>
  <si>
    <t>sales&gt;15K</t>
  </si>
  <si>
    <t>city</t>
  </si>
  <si>
    <t>salary</t>
  </si>
  <si>
    <t>Mumbai</t>
  </si>
  <si>
    <t>Pune</t>
  </si>
  <si>
    <t>Nagpur</t>
  </si>
  <si>
    <t>Ratnagiri</t>
  </si>
  <si>
    <t>Emp Id</t>
  </si>
  <si>
    <t>q1. if salary&gt;300,"Ok","not ok"</t>
  </si>
  <si>
    <t>q2.if city="Mumbai" then "yes","no"</t>
  </si>
  <si>
    <t>q3. if city="pune" and salary=500 ,then "ok",else "not ok"</t>
  </si>
  <si>
    <t>q4. if city="Ratnagiri" or slary&gt;800,"Ok","Not ok"</t>
  </si>
  <si>
    <t>total revenue=sum(qty*price)</t>
  </si>
  <si>
    <t>Conditional Formatting</t>
  </si>
  <si>
    <t>Total Revenue</t>
  </si>
  <si>
    <t>qty sold</t>
  </si>
  <si>
    <t>price of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</si>
</sst>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0"/>
      <name val="MS Sans Serif"/>
      <family val="2"/>
    </font>
    <font>
      <sz val="10"/>
      <color theme="2"/>
      <name val="MS Sans Serif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4" fillId="2" borderId="1" xfId="1" applyFont="1" applyFill="1" applyBorder="1"/>
    <xf numFmtId="9" fontId="0" fillId="0" borderId="1" xfId="0" applyNumberFormat="1" applyBorder="1"/>
    <xf numFmtId="0" fontId="2" fillId="2" borderId="0" xfId="0" applyFont="1" applyFill="1"/>
    <xf numFmtId="0" fontId="1" fillId="3" borderId="0" xfId="0" applyFont="1" applyFill="1"/>
    <xf numFmtId="0" fontId="2" fillId="2" borderId="2" xfId="0" applyFont="1" applyFill="1" applyBorder="1"/>
    <xf numFmtId="0" fontId="5" fillId="0" borderId="1" xfId="1" quotePrefix="1" applyFont="1" applyBorder="1"/>
    <xf numFmtId="0" fontId="0" fillId="4" borderId="0" xfId="0" applyFill="1"/>
    <xf numFmtId="9" fontId="0" fillId="0" borderId="0" xfId="0" applyNumberFormat="1"/>
    <xf numFmtId="0" fontId="6" fillId="0" borderId="0" xfId="0" applyFont="1"/>
    <xf numFmtId="0" fontId="6" fillId="4" borderId="0" xfId="0" applyFont="1" applyFill="1"/>
  </cellXfs>
  <cellStyles count="2">
    <cellStyle name="Normal" xfId="0" builtinId="0"/>
    <cellStyle name="Normal 2" xfId="1" xr:uid="{8627078C-AB56-415D-9EA8-76645B0C8B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CA63-2F4E-40FF-9D22-AF55249CE5FF}">
  <dimension ref="A1:P64"/>
  <sheetViews>
    <sheetView tabSelected="1" zoomScale="93" zoomScaleNormal="99" workbookViewId="0">
      <selection activeCell="G2" sqref="G2"/>
    </sheetView>
  </sheetViews>
  <sheetFormatPr defaultRowHeight="14.4" x14ac:dyDescent="0.3"/>
  <cols>
    <col min="1" max="1" width="11.88671875" customWidth="1"/>
    <col min="2" max="2" width="20.21875" customWidth="1"/>
    <col min="3" max="3" width="11.44140625" bestFit="1" customWidth="1"/>
    <col min="4" max="4" width="25.88671875" customWidth="1"/>
    <col min="5" max="5" width="11.88671875" bestFit="1" customWidth="1"/>
    <col min="6" max="6" width="11.109375" customWidth="1"/>
    <col min="7" max="7" width="16.21875" customWidth="1"/>
    <col min="8" max="8" width="14.77734375" customWidth="1"/>
    <col min="9" max="9" width="15.44140625" customWidth="1"/>
    <col min="10" max="10" width="14.77734375" customWidth="1"/>
    <col min="11" max="11" width="14" customWidth="1"/>
    <col min="12" max="12" width="15.33203125" customWidth="1"/>
    <col min="13" max="13" width="17.5546875" customWidth="1"/>
    <col min="14" max="14" width="18.6640625" customWidth="1"/>
    <col min="15" max="15" width="14.44140625" customWidth="1"/>
    <col min="16" max="16" width="14.21875" customWidth="1"/>
    <col min="17" max="17" width="13.66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8" t="s">
        <v>32</v>
      </c>
      <c r="H1" s="8" t="s">
        <v>34</v>
      </c>
      <c r="I1" s="8" t="s">
        <v>34</v>
      </c>
      <c r="J1" s="8" t="s">
        <v>36</v>
      </c>
      <c r="K1" s="8" t="s">
        <v>48</v>
      </c>
      <c r="L1" s="8" t="s">
        <v>52</v>
      </c>
      <c r="M1" s="8" t="s">
        <v>81</v>
      </c>
      <c r="N1" s="8" t="s">
        <v>82</v>
      </c>
      <c r="O1" s="8" t="s">
        <v>5</v>
      </c>
      <c r="P1" s="8"/>
    </row>
    <row r="2" spans="1:16" x14ac:dyDescent="0.3">
      <c r="A2" s="3">
        <v>9</v>
      </c>
      <c r="B2" s="9" t="s">
        <v>6</v>
      </c>
      <c r="C2" s="3" t="s">
        <v>7</v>
      </c>
      <c r="D2" s="9" t="s">
        <v>8</v>
      </c>
      <c r="E2" s="3">
        <v>20000</v>
      </c>
      <c r="F2" s="3">
        <v>23000</v>
      </c>
      <c r="G2" s="11" t="str">
        <f>IF(F2&gt;E2, "Met", "Not Met")</f>
        <v>Met</v>
      </c>
      <c r="H2">
        <f>IF(F2&gt;E2,10%,0%)</f>
        <v>0.1</v>
      </c>
      <c r="I2" t="str">
        <f>IF(F2&gt;E2,"10%", "0%")</f>
        <v>10%</v>
      </c>
      <c r="J2" t="str" cm="1">
        <f t="array" ref="J2">_xlfn.IFS(F2&gt;=15000, "Very Good", F2&gt;=10000, "Good", F2&lt;10000,"Average")</f>
        <v>Very Good</v>
      </c>
      <c r="K2">
        <f>IF(F2&gt;E2, 10%*F2,5%*F2)</f>
        <v>2300</v>
      </c>
      <c r="L2" t="str">
        <f>IF(OR(C2="Consumer",D2="Furniture"),"Ok","Not Ok")</f>
        <v>Not Ok</v>
      </c>
      <c r="M2">
        <v>7</v>
      </c>
      <c r="N2">
        <v>617</v>
      </c>
      <c r="O2">
        <f>N2*M2</f>
        <v>4319</v>
      </c>
    </row>
    <row r="3" spans="1:16" x14ac:dyDescent="0.3">
      <c r="A3" s="3">
        <v>18</v>
      </c>
      <c r="B3" s="9" t="s">
        <v>9</v>
      </c>
      <c r="C3" s="3" t="s">
        <v>10</v>
      </c>
      <c r="D3" s="9" t="s">
        <v>11</v>
      </c>
      <c r="E3" s="3">
        <v>25000</v>
      </c>
      <c r="F3" s="3">
        <v>21000</v>
      </c>
      <c r="G3" s="11" t="str">
        <f t="shared" ref="G3:G21" si="0">IF(F3&gt;E3, "Met", "Not Met")</f>
        <v>Not Met</v>
      </c>
      <c r="H3">
        <f t="shared" ref="H3:H21" si="1">IF(F3&gt;E3,10%,0%)</f>
        <v>0</v>
      </c>
      <c r="I3" t="str">
        <f t="shared" ref="I3:I21" si="2">IF(F3&gt;E3,"10%", "0%")</f>
        <v>0%</v>
      </c>
      <c r="J3" t="str" cm="1">
        <f t="array" ref="J3">_xlfn.IFS(F3&gt;=15000, "Very Good", F3&gt;=10000, "Good", F3&lt;10000,"Average")</f>
        <v>Very Good</v>
      </c>
      <c r="K3">
        <f t="shared" ref="K3:K21" si="3">IF(F3&gt;E3, 10%*F3,5%*F3)</f>
        <v>1050</v>
      </c>
      <c r="L3" t="str">
        <f t="shared" ref="L3:L21" si="4">IF(OR(C3="Consumer",D3="Furniture"),"Ok","Not Ok")</f>
        <v>Ok</v>
      </c>
      <c r="M3">
        <v>5</v>
      </c>
      <c r="N3">
        <v>735</v>
      </c>
      <c r="O3">
        <f t="shared" ref="O3:O21" si="5">N3*M3</f>
        <v>3675</v>
      </c>
    </row>
    <row r="4" spans="1:16" x14ac:dyDescent="0.3">
      <c r="A4" s="3">
        <v>13</v>
      </c>
      <c r="B4" s="9" t="s">
        <v>12</v>
      </c>
      <c r="C4" s="9" t="s">
        <v>10</v>
      </c>
      <c r="D4" s="9" t="s">
        <v>8</v>
      </c>
      <c r="E4" s="3">
        <v>25000</v>
      </c>
      <c r="F4" s="3">
        <v>20000</v>
      </c>
      <c r="G4" s="11" t="str">
        <f t="shared" si="0"/>
        <v>Not Met</v>
      </c>
      <c r="H4">
        <f t="shared" si="1"/>
        <v>0</v>
      </c>
      <c r="I4" t="str">
        <f t="shared" si="2"/>
        <v>0%</v>
      </c>
      <c r="J4" t="str" cm="1">
        <f t="array" ref="J4">_xlfn.IFS(F4&gt;=15000, "Very Good", F4&gt;=10000, "Good", F4&lt;10000,"Average")</f>
        <v>Very Good</v>
      </c>
      <c r="K4">
        <f t="shared" si="3"/>
        <v>1000</v>
      </c>
      <c r="L4" t="str">
        <f t="shared" si="4"/>
        <v>Not Ok</v>
      </c>
      <c r="M4">
        <v>7</v>
      </c>
      <c r="N4">
        <v>811</v>
      </c>
      <c r="O4">
        <f t="shared" si="5"/>
        <v>5677</v>
      </c>
    </row>
    <row r="5" spans="1:16" x14ac:dyDescent="0.3">
      <c r="A5" s="3">
        <v>20</v>
      </c>
      <c r="B5" s="9" t="s">
        <v>13</v>
      </c>
      <c r="C5" s="3" t="s">
        <v>10</v>
      </c>
      <c r="D5" s="9" t="s">
        <v>8</v>
      </c>
      <c r="E5" s="3">
        <v>23000</v>
      </c>
      <c r="F5" s="3">
        <v>20000</v>
      </c>
      <c r="G5" s="11" t="str">
        <f t="shared" si="0"/>
        <v>Not Met</v>
      </c>
      <c r="H5">
        <f t="shared" si="1"/>
        <v>0</v>
      </c>
      <c r="I5" t="str">
        <f t="shared" si="2"/>
        <v>0%</v>
      </c>
      <c r="J5" t="str" cm="1">
        <f t="array" ref="J5">_xlfn.IFS(F5&gt;=15000, "Very Good", F5&gt;=10000, "Good", F5&lt;10000,"Average")</f>
        <v>Very Good</v>
      </c>
      <c r="K5">
        <f t="shared" si="3"/>
        <v>1000</v>
      </c>
      <c r="L5" t="str">
        <f t="shared" si="4"/>
        <v>Not Ok</v>
      </c>
      <c r="M5">
        <v>3</v>
      </c>
      <c r="N5">
        <v>506</v>
      </c>
      <c r="O5">
        <f t="shared" si="5"/>
        <v>1518</v>
      </c>
    </row>
    <row r="6" spans="1:16" x14ac:dyDescent="0.3">
      <c r="A6" s="3">
        <v>2</v>
      </c>
      <c r="B6" s="9" t="s">
        <v>14</v>
      </c>
      <c r="C6" s="3" t="s">
        <v>15</v>
      </c>
      <c r="D6" s="9" t="s">
        <v>11</v>
      </c>
      <c r="E6" s="3">
        <v>17000</v>
      </c>
      <c r="F6" s="3">
        <v>16000</v>
      </c>
      <c r="G6" s="11" t="str">
        <f t="shared" si="0"/>
        <v>Not Met</v>
      </c>
      <c r="H6">
        <f t="shared" si="1"/>
        <v>0</v>
      </c>
      <c r="I6" t="str">
        <f t="shared" si="2"/>
        <v>0%</v>
      </c>
      <c r="J6" t="str" cm="1">
        <f t="array" ref="J6">_xlfn.IFS(F6&gt;=15000, "Very Good", F6&gt;=10000, "Good", F6&lt;10000,"Average")</f>
        <v>Very Good</v>
      </c>
      <c r="K6">
        <f t="shared" si="3"/>
        <v>800</v>
      </c>
      <c r="L6" t="str">
        <f t="shared" si="4"/>
        <v>Ok</v>
      </c>
      <c r="M6">
        <v>8</v>
      </c>
      <c r="N6">
        <v>349</v>
      </c>
      <c r="O6">
        <f t="shared" si="5"/>
        <v>2792</v>
      </c>
    </row>
    <row r="7" spans="1:16" x14ac:dyDescent="0.3">
      <c r="A7" s="3">
        <v>15</v>
      </c>
      <c r="B7" s="9" t="s">
        <v>16</v>
      </c>
      <c r="C7" s="9" t="s">
        <v>15</v>
      </c>
      <c r="D7" s="9" t="s">
        <v>17</v>
      </c>
      <c r="E7" s="3">
        <v>20000</v>
      </c>
      <c r="F7" s="3">
        <v>15000</v>
      </c>
      <c r="G7" s="11" t="str">
        <f t="shared" si="0"/>
        <v>Not Met</v>
      </c>
      <c r="H7">
        <f t="shared" si="1"/>
        <v>0</v>
      </c>
      <c r="I7" t="str">
        <f t="shared" si="2"/>
        <v>0%</v>
      </c>
      <c r="J7" t="str" cm="1">
        <f t="array" ref="J7">_xlfn.IFS(F7&gt;=15000, "Very Good", F7&gt;=10000, "Good", F7&lt;10000,"Average")</f>
        <v>Very Good</v>
      </c>
      <c r="K7">
        <f t="shared" si="3"/>
        <v>750</v>
      </c>
      <c r="L7" t="str">
        <f t="shared" si="4"/>
        <v>Ok</v>
      </c>
      <c r="M7">
        <v>7</v>
      </c>
      <c r="N7">
        <v>325</v>
      </c>
      <c r="O7">
        <f t="shared" si="5"/>
        <v>2275</v>
      </c>
    </row>
    <row r="8" spans="1:16" x14ac:dyDescent="0.3">
      <c r="A8" s="3">
        <v>8</v>
      </c>
      <c r="B8" s="9" t="s">
        <v>18</v>
      </c>
      <c r="C8" s="3" t="s">
        <v>10</v>
      </c>
      <c r="D8" s="9" t="s">
        <v>17</v>
      </c>
      <c r="E8" s="3">
        <v>14000</v>
      </c>
      <c r="F8" s="3">
        <v>14000</v>
      </c>
      <c r="G8" s="11" t="str">
        <f t="shared" si="0"/>
        <v>Not Met</v>
      </c>
      <c r="H8">
        <f t="shared" si="1"/>
        <v>0</v>
      </c>
      <c r="I8" t="str">
        <f t="shared" si="2"/>
        <v>0%</v>
      </c>
      <c r="J8" t="str" cm="1">
        <f t="array" ref="J8">_xlfn.IFS(F8&gt;=15000, "Very Good", F8&gt;=10000, "Good", F8&lt;10000,"Average")</f>
        <v>Good</v>
      </c>
      <c r="K8">
        <f t="shared" si="3"/>
        <v>700</v>
      </c>
      <c r="L8" t="str">
        <f t="shared" si="4"/>
        <v>Not Ok</v>
      </c>
      <c r="M8">
        <v>9</v>
      </c>
      <c r="N8">
        <v>542</v>
      </c>
      <c r="O8">
        <f t="shared" si="5"/>
        <v>4878</v>
      </c>
    </row>
    <row r="9" spans="1:16" x14ac:dyDescent="0.3">
      <c r="A9" s="3">
        <v>3</v>
      </c>
      <c r="B9" s="9" t="s">
        <v>19</v>
      </c>
      <c r="C9" s="3" t="s">
        <v>15</v>
      </c>
      <c r="D9" s="9" t="s">
        <v>8</v>
      </c>
      <c r="E9" s="3">
        <v>7000</v>
      </c>
      <c r="F9" s="3">
        <v>8000</v>
      </c>
      <c r="G9" s="11" t="str">
        <f t="shared" si="0"/>
        <v>Met</v>
      </c>
      <c r="H9">
        <f t="shared" si="1"/>
        <v>0.1</v>
      </c>
      <c r="I9" t="str">
        <f t="shared" si="2"/>
        <v>10%</v>
      </c>
      <c r="J9" t="str" cm="1">
        <f t="array" ref="J9">_xlfn.IFS(F9&gt;=15000, "Very Good", F9&gt;=10000, "Good", F9&lt;10000,"Average")</f>
        <v>Average</v>
      </c>
      <c r="K9">
        <f t="shared" si="3"/>
        <v>800</v>
      </c>
      <c r="L9" t="str">
        <f t="shared" si="4"/>
        <v>Ok</v>
      </c>
      <c r="M9">
        <v>7</v>
      </c>
      <c r="N9">
        <v>417</v>
      </c>
      <c r="O9">
        <f t="shared" si="5"/>
        <v>2919</v>
      </c>
    </row>
    <row r="10" spans="1:16" x14ac:dyDescent="0.3">
      <c r="A10" s="3">
        <v>6</v>
      </c>
      <c r="B10" s="9" t="s">
        <v>20</v>
      </c>
      <c r="C10" s="3" t="s">
        <v>10</v>
      </c>
      <c r="D10" s="9" t="s">
        <v>11</v>
      </c>
      <c r="E10" s="3">
        <v>20000</v>
      </c>
      <c r="F10" s="3">
        <v>7000</v>
      </c>
      <c r="G10" s="11" t="str">
        <f t="shared" si="0"/>
        <v>Not Met</v>
      </c>
      <c r="H10">
        <f t="shared" si="1"/>
        <v>0</v>
      </c>
      <c r="I10" t="str">
        <f t="shared" si="2"/>
        <v>0%</v>
      </c>
      <c r="J10" t="str" cm="1">
        <f t="array" ref="J10">_xlfn.IFS(F10&gt;=15000, "Very Good", F10&gt;=10000, "Good", F10&lt;10000,"Average")</f>
        <v>Average</v>
      </c>
      <c r="K10">
        <f t="shared" si="3"/>
        <v>350</v>
      </c>
      <c r="L10" t="str">
        <f t="shared" si="4"/>
        <v>Ok</v>
      </c>
      <c r="M10">
        <v>9</v>
      </c>
      <c r="N10">
        <v>235</v>
      </c>
      <c r="O10">
        <f t="shared" si="5"/>
        <v>2115</v>
      </c>
    </row>
    <row r="11" spans="1:16" x14ac:dyDescent="0.3">
      <c r="A11" s="3">
        <v>4</v>
      </c>
      <c r="B11" s="9" t="s">
        <v>21</v>
      </c>
      <c r="C11" s="3" t="s">
        <v>7</v>
      </c>
      <c r="D11" s="9" t="s">
        <v>11</v>
      </c>
      <c r="E11" s="3">
        <v>8000</v>
      </c>
      <c r="F11" s="3">
        <v>6000</v>
      </c>
      <c r="G11" s="11" t="str">
        <f t="shared" si="0"/>
        <v>Not Met</v>
      </c>
      <c r="H11">
        <f t="shared" si="1"/>
        <v>0</v>
      </c>
      <c r="I11" t="str">
        <f t="shared" si="2"/>
        <v>0%</v>
      </c>
      <c r="J11" t="str" cm="1">
        <f t="array" ref="J11">_xlfn.IFS(F11&gt;=15000, "Very Good", F11&gt;=10000, "Good", F11&lt;10000,"Average")</f>
        <v>Average</v>
      </c>
      <c r="K11">
        <f t="shared" si="3"/>
        <v>300</v>
      </c>
      <c r="L11" t="str">
        <f t="shared" si="4"/>
        <v>Ok</v>
      </c>
      <c r="M11">
        <v>8</v>
      </c>
      <c r="N11">
        <v>711</v>
      </c>
      <c r="O11">
        <f t="shared" si="5"/>
        <v>5688</v>
      </c>
    </row>
    <row r="12" spans="1:16" x14ac:dyDescent="0.3">
      <c r="A12" s="3">
        <v>1</v>
      </c>
      <c r="B12" s="9" t="s">
        <v>22</v>
      </c>
      <c r="C12" s="3" t="s">
        <v>7</v>
      </c>
      <c r="D12" s="9" t="s">
        <v>11</v>
      </c>
      <c r="E12" s="3">
        <v>3000</v>
      </c>
      <c r="F12" s="3">
        <v>4500</v>
      </c>
      <c r="G12" s="11" t="str">
        <f t="shared" si="0"/>
        <v>Met</v>
      </c>
      <c r="H12">
        <f t="shared" si="1"/>
        <v>0.1</v>
      </c>
      <c r="I12" t="str">
        <f t="shared" si="2"/>
        <v>10%</v>
      </c>
      <c r="J12" t="str" cm="1">
        <f t="array" ref="J12">_xlfn.IFS(F12&gt;=15000, "Very Good", F12&gt;=10000, "Good", F12&lt;10000,"Average")</f>
        <v>Average</v>
      </c>
      <c r="K12">
        <f t="shared" si="3"/>
        <v>450</v>
      </c>
      <c r="L12" t="str">
        <f t="shared" si="4"/>
        <v>Ok</v>
      </c>
      <c r="M12">
        <v>7</v>
      </c>
      <c r="N12">
        <v>415</v>
      </c>
      <c r="O12">
        <f t="shared" si="5"/>
        <v>2905</v>
      </c>
    </row>
    <row r="13" spans="1:16" x14ac:dyDescent="0.3">
      <c r="A13" s="3">
        <v>16</v>
      </c>
      <c r="B13" s="9" t="s">
        <v>23</v>
      </c>
      <c r="C13" s="3" t="s">
        <v>7</v>
      </c>
      <c r="D13" s="9" t="s">
        <v>11</v>
      </c>
      <c r="E13" s="3">
        <v>2000</v>
      </c>
      <c r="F13" s="3">
        <v>4000</v>
      </c>
      <c r="G13" s="11" t="str">
        <f t="shared" si="0"/>
        <v>Met</v>
      </c>
      <c r="H13">
        <f t="shared" si="1"/>
        <v>0.1</v>
      </c>
      <c r="I13" t="str">
        <f t="shared" si="2"/>
        <v>10%</v>
      </c>
      <c r="J13" t="str" cm="1">
        <f t="array" ref="J13">_xlfn.IFS(F13&gt;=15000, "Very Good", F13&gt;=10000, "Good", F13&lt;10000,"Average")</f>
        <v>Average</v>
      </c>
      <c r="K13">
        <f t="shared" si="3"/>
        <v>400</v>
      </c>
      <c r="L13" t="str">
        <f t="shared" si="4"/>
        <v>Ok</v>
      </c>
      <c r="M13">
        <v>2</v>
      </c>
      <c r="N13">
        <v>240</v>
      </c>
      <c r="O13">
        <f t="shared" si="5"/>
        <v>480</v>
      </c>
    </row>
    <row r="14" spans="1:16" x14ac:dyDescent="0.3">
      <c r="A14" s="3">
        <v>11</v>
      </c>
      <c r="B14" s="9" t="s">
        <v>24</v>
      </c>
      <c r="C14" s="9" t="s">
        <v>15</v>
      </c>
      <c r="D14" s="9" t="s">
        <v>11</v>
      </c>
      <c r="E14" s="3">
        <v>1500</v>
      </c>
      <c r="F14" s="3">
        <v>2300</v>
      </c>
      <c r="G14" s="11" t="str">
        <f t="shared" si="0"/>
        <v>Met</v>
      </c>
      <c r="H14">
        <f t="shared" si="1"/>
        <v>0.1</v>
      </c>
      <c r="I14" t="str">
        <f t="shared" si="2"/>
        <v>10%</v>
      </c>
      <c r="J14" t="str" cm="1">
        <f t="array" ref="J14">_xlfn.IFS(F14&gt;=15000, "Very Good", F14&gt;=10000, "Good", F14&lt;10000,"Average")</f>
        <v>Average</v>
      </c>
      <c r="K14">
        <f t="shared" si="3"/>
        <v>230</v>
      </c>
      <c r="L14" t="str">
        <f t="shared" si="4"/>
        <v>Ok</v>
      </c>
      <c r="M14">
        <v>5</v>
      </c>
      <c r="N14">
        <v>852</v>
      </c>
      <c r="O14">
        <f t="shared" si="5"/>
        <v>4260</v>
      </c>
    </row>
    <row r="15" spans="1:16" x14ac:dyDescent="0.3">
      <c r="A15" s="3">
        <v>14</v>
      </c>
      <c r="B15" s="9" t="s">
        <v>25</v>
      </c>
      <c r="C15" s="9" t="s">
        <v>15</v>
      </c>
      <c r="D15" s="9" t="s">
        <v>8</v>
      </c>
      <c r="E15" s="3">
        <v>15000</v>
      </c>
      <c r="F15" s="3">
        <v>2300</v>
      </c>
      <c r="G15" s="11" t="str">
        <f t="shared" si="0"/>
        <v>Not Met</v>
      </c>
      <c r="H15">
        <f t="shared" si="1"/>
        <v>0</v>
      </c>
      <c r="I15" t="str">
        <f t="shared" si="2"/>
        <v>0%</v>
      </c>
      <c r="J15" t="str" cm="1">
        <f t="array" ref="J15">_xlfn.IFS(F15&gt;=15000, "Very Good", F15&gt;=10000, "Good", F15&lt;10000,"Average")</f>
        <v>Average</v>
      </c>
      <c r="K15">
        <f t="shared" si="3"/>
        <v>115</v>
      </c>
      <c r="L15" t="str">
        <f t="shared" si="4"/>
        <v>Ok</v>
      </c>
      <c r="M15">
        <v>5</v>
      </c>
      <c r="N15">
        <v>532</v>
      </c>
      <c r="O15">
        <f t="shared" si="5"/>
        <v>2660</v>
      </c>
    </row>
    <row r="16" spans="1:16" x14ac:dyDescent="0.3">
      <c r="A16" s="3">
        <v>17</v>
      </c>
      <c r="B16" s="9" t="s">
        <v>26</v>
      </c>
      <c r="C16" s="3" t="s">
        <v>15</v>
      </c>
      <c r="D16" s="9" t="s">
        <v>8</v>
      </c>
      <c r="E16" s="3">
        <v>8000</v>
      </c>
      <c r="F16" s="3">
        <v>2300</v>
      </c>
      <c r="G16" s="11" t="str">
        <f t="shared" si="0"/>
        <v>Not Met</v>
      </c>
      <c r="H16">
        <f t="shared" si="1"/>
        <v>0</v>
      </c>
      <c r="I16" t="str">
        <f t="shared" si="2"/>
        <v>0%</v>
      </c>
      <c r="J16" t="str" cm="1">
        <f t="array" ref="J16">_xlfn.IFS(F16&gt;=15000, "Very Good", F16&gt;=10000, "Good", F16&lt;10000,"Average")</f>
        <v>Average</v>
      </c>
      <c r="K16">
        <f t="shared" si="3"/>
        <v>115</v>
      </c>
      <c r="L16" t="str">
        <f t="shared" si="4"/>
        <v>Ok</v>
      </c>
      <c r="M16">
        <v>4</v>
      </c>
      <c r="N16">
        <v>515</v>
      </c>
      <c r="O16">
        <f t="shared" si="5"/>
        <v>2060</v>
      </c>
    </row>
    <row r="17" spans="1:15" x14ac:dyDescent="0.3">
      <c r="A17" s="3">
        <v>10</v>
      </c>
      <c r="B17" s="9" t="s">
        <v>27</v>
      </c>
      <c r="C17" s="9" t="s">
        <v>15</v>
      </c>
      <c r="D17" s="9" t="s">
        <v>8</v>
      </c>
      <c r="E17" s="3">
        <v>4000</v>
      </c>
      <c r="F17" s="3">
        <v>2000</v>
      </c>
      <c r="G17" s="11" t="str">
        <f t="shared" si="0"/>
        <v>Not Met</v>
      </c>
      <c r="H17">
        <f t="shared" si="1"/>
        <v>0</v>
      </c>
      <c r="I17" t="str">
        <f t="shared" si="2"/>
        <v>0%</v>
      </c>
      <c r="J17" t="str" cm="1">
        <f t="array" ref="J17">_xlfn.IFS(F17&gt;=15000, "Very Good", F17&gt;=10000, "Good", F17&lt;10000,"Average")</f>
        <v>Average</v>
      </c>
      <c r="K17">
        <f t="shared" si="3"/>
        <v>100</v>
      </c>
      <c r="L17" t="str">
        <f t="shared" si="4"/>
        <v>Ok</v>
      </c>
      <c r="M17">
        <v>7</v>
      </c>
      <c r="N17">
        <v>219</v>
      </c>
      <c r="O17">
        <f t="shared" si="5"/>
        <v>1533</v>
      </c>
    </row>
    <row r="18" spans="1:15" x14ac:dyDescent="0.3">
      <c r="A18" s="3">
        <v>19</v>
      </c>
      <c r="B18" s="9" t="s">
        <v>28</v>
      </c>
      <c r="C18" s="3" t="s">
        <v>15</v>
      </c>
      <c r="D18" s="9" t="s">
        <v>8</v>
      </c>
      <c r="E18" s="3">
        <v>4000</v>
      </c>
      <c r="F18" s="3">
        <v>2000</v>
      </c>
      <c r="G18" s="11" t="str">
        <f t="shared" si="0"/>
        <v>Not Met</v>
      </c>
      <c r="H18">
        <f t="shared" si="1"/>
        <v>0</v>
      </c>
      <c r="I18" t="str">
        <f t="shared" si="2"/>
        <v>0%</v>
      </c>
      <c r="J18" t="str" cm="1">
        <f t="array" ref="J18">_xlfn.IFS(F18&gt;=15000, "Very Good", F18&gt;=10000, "Good", F18&lt;10000,"Average")</f>
        <v>Average</v>
      </c>
      <c r="K18">
        <f t="shared" si="3"/>
        <v>100</v>
      </c>
      <c r="L18" t="str">
        <f t="shared" si="4"/>
        <v>Ok</v>
      </c>
      <c r="M18">
        <v>9</v>
      </c>
      <c r="N18">
        <v>862</v>
      </c>
      <c r="O18">
        <f t="shared" si="5"/>
        <v>7758</v>
      </c>
    </row>
    <row r="19" spans="1:15" x14ac:dyDescent="0.3">
      <c r="A19" s="3">
        <v>12</v>
      </c>
      <c r="B19" s="9" t="s">
        <v>29</v>
      </c>
      <c r="C19" s="9" t="s">
        <v>10</v>
      </c>
      <c r="D19" s="9" t="s">
        <v>17</v>
      </c>
      <c r="E19" s="3">
        <v>5000</v>
      </c>
      <c r="F19" s="3">
        <v>1200</v>
      </c>
      <c r="G19" s="11" t="str">
        <f t="shared" si="0"/>
        <v>Not Met</v>
      </c>
      <c r="H19">
        <f t="shared" si="1"/>
        <v>0</v>
      </c>
      <c r="I19" t="str">
        <f t="shared" si="2"/>
        <v>0%</v>
      </c>
      <c r="J19" t="str" cm="1">
        <f t="array" ref="J19">_xlfn.IFS(F19&gt;=15000, "Very Good", F19&gt;=10000, "Good", F19&lt;10000,"Average")</f>
        <v>Average</v>
      </c>
      <c r="K19">
        <f t="shared" si="3"/>
        <v>60</v>
      </c>
      <c r="L19" t="str">
        <f t="shared" si="4"/>
        <v>Not Ok</v>
      </c>
      <c r="M19">
        <v>3</v>
      </c>
      <c r="N19">
        <v>805</v>
      </c>
      <c r="O19">
        <f t="shared" si="5"/>
        <v>2415</v>
      </c>
    </row>
    <row r="20" spans="1:15" x14ac:dyDescent="0.3">
      <c r="A20" s="3">
        <v>7</v>
      </c>
      <c r="B20" s="9" t="s">
        <v>30</v>
      </c>
      <c r="C20" s="3" t="s">
        <v>15</v>
      </c>
      <c r="D20" s="9" t="s">
        <v>8</v>
      </c>
      <c r="E20" s="3">
        <v>2000</v>
      </c>
      <c r="F20" s="3">
        <v>500</v>
      </c>
      <c r="G20" s="11" t="str">
        <f t="shared" si="0"/>
        <v>Not Met</v>
      </c>
      <c r="H20">
        <f t="shared" si="1"/>
        <v>0</v>
      </c>
      <c r="I20" t="str">
        <f t="shared" si="2"/>
        <v>0%</v>
      </c>
      <c r="J20" t="str" cm="1">
        <f t="array" ref="J20">_xlfn.IFS(F20&gt;=15000, "Very Good", F20&gt;=10000, "Good", F20&lt;10000,"Average")</f>
        <v>Average</v>
      </c>
      <c r="K20">
        <f t="shared" si="3"/>
        <v>25</v>
      </c>
      <c r="L20" t="str">
        <f t="shared" si="4"/>
        <v>Ok</v>
      </c>
      <c r="M20">
        <v>2</v>
      </c>
      <c r="N20">
        <v>462</v>
      </c>
      <c r="O20">
        <f t="shared" si="5"/>
        <v>924</v>
      </c>
    </row>
    <row r="21" spans="1:15" x14ac:dyDescent="0.3">
      <c r="A21" s="3">
        <v>5</v>
      </c>
      <c r="B21" s="9" t="s">
        <v>31</v>
      </c>
      <c r="C21" s="3" t="s">
        <v>15</v>
      </c>
      <c r="D21" s="9" t="s">
        <v>8</v>
      </c>
      <c r="E21" s="3">
        <v>3000</v>
      </c>
      <c r="F21" s="3">
        <v>200</v>
      </c>
      <c r="G21" s="11" t="str">
        <f t="shared" si="0"/>
        <v>Not Met</v>
      </c>
      <c r="H21">
        <f t="shared" si="1"/>
        <v>0</v>
      </c>
      <c r="I21" t="str">
        <f t="shared" si="2"/>
        <v>0%</v>
      </c>
      <c r="J21" t="str" cm="1">
        <f t="array" ref="J21">_xlfn.IFS(F21&gt;=15000, "Very Good", F21&gt;=10000, "Good", F21&lt;10000,"Average")</f>
        <v>Average</v>
      </c>
      <c r="K21">
        <f t="shared" si="3"/>
        <v>10</v>
      </c>
      <c r="L21" t="str">
        <f t="shared" si="4"/>
        <v>Ok</v>
      </c>
      <c r="M21">
        <v>5</v>
      </c>
      <c r="N21">
        <v>539</v>
      </c>
      <c r="O21">
        <f t="shared" si="5"/>
        <v>2695</v>
      </c>
    </row>
    <row r="23" spans="1:15" x14ac:dyDescent="0.3">
      <c r="N23" t="s">
        <v>80</v>
      </c>
      <c r="O23">
        <f>SUM(O2:O21)</f>
        <v>63546</v>
      </c>
    </row>
    <row r="24" spans="1:15" x14ac:dyDescent="0.3">
      <c r="O24">
        <f>SUMPRODUCT(M2:M21,N2:N21)</f>
        <v>63546</v>
      </c>
    </row>
    <row r="27" spans="1:15" x14ac:dyDescent="0.3">
      <c r="A27" t="s">
        <v>61</v>
      </c>
      <c r="C27" t="s">
        <v>62</v>
      </c>
    </row>
    <row r="28" spans="1:15" x14ac:dyDescent="0.3">
      <c r="A28" t="s">
        <v>60</v>
      </c>
      <c r="F28" t="s">
        <v>56</v>
      </c>
      <c r="G28" t="s">
        <v>57</v>
      </c>
    </row>
    <row r="29" spans="1:15" x14ac:dyDescent="0.3">
      <c r="F29" t="s">
        <v>59</v>
      </c>
      <c r="G29" t="s">
        <v>58</v>
      </c>
    </row>
    <row r="33" spans="4:11" x14ac:dyDescent="0.3">
      <c r="D33" s="4" t="s">
        <v>32</v>
      </c>
      <c r="E33" s="1" t="s">
        <v>33</v>
      </c>
      <c r="G33" s="4" t="s">
        <v>34</v>
      </c>
      <c r="H33" s="1" t="s">
        <v>35</v>
      </c>
      <c r="I33" s="4" t="s">
        <v>36</v>
      </c>
      <c r="J33" s="1" t="s">
        <v>33</v>
      </c>
    </row>
    <row r="34" spans="4:11" x14ac:dyDescent="0.3">
      <c r="D34" s="3" t="s">
        <v>37</v>
      </c>
      <c r="E34" s="3" t="s">
        <v>38</v>
      </c>
      <c r="G34" s="3" t="s">
        <v>39</v>
      </c>
      <c r="H34" s="5">
        <v>0.1</v>
      </c>
      <c r="I34" s="3" t="s">
        <v>66</v>
      </c>
      <c r="J34" s="3" t="s">
        <v>40</v>
      </c>
    </row>
    <row r="35" spans="4:11" x14ac:dyDescent="0.3">
      <c r="D35" s="3" t="s">
        <v>41</v>
      </c>
      <c r="E35" s="3" t="s">
        <v>42</v>
      </c>
      <c r="G35" s="3" t="s">
        <v>43</v>
      </c>
      <c r="H35" s="5">
        <v>0</v>
      </c>
      <c r="I35" s="3" t="s">
        <v>44</v>
      </c>
      <c r="J35" s="3" t="s">
        <v>45</v>
      </c>
    </row>
    <row r="36" spans="4:11" x14ac:dyDescent="0.3">
      <c r="I36" s="3" t="s">
        <v>46</v>
      </c>
      <c r="J36" s="3" t="s">
        <v>47</v>
      </c>
    </row>
    <row r="39" spans="4:11" x14ac:dyDescent="0.3">
      <c r="D39" s="6" t="s">
        <v>48</v>
      </c>
      <c r="E39" s="6" t="s">
        <v>33</v>
      </c>
    </row>
    <row r="40" spans="4:11" x14ac:dyDescent="0.3">
      <c r="D40" t="s">
        <v>37</v>
      </c>
      <c r="E40" t="s">
        <v>49</v>
      </c>
      <c r="F40" t="s">
        <v>50</v>
      </c>
    </row>
    <row r="41" spans="4:11" x14ac:dyDescent="0.3">
      <c r="D41" t="s">
        <v>41</v>
      </c>
      <c r="E41" t="s">
        <v>51</v>
      </c>
    </row>
    <row r="43" spans="4:11" x14ac:dyDescent="0.3">
      <c r="D43" s="7" t="s">
        <v>52</v>
      </c>
    </row>
    <row r="44" spans="4:11" x14ac:dyDescent="0.3">
      <c r="D44" t="s">
        <v>53</v>
      </c>
    </row>
    <row r="46" spans="4:11" x14ac:dyDescent="0.3">
      <c r="D46" s="12" t="s">
        <v>63</v>
      </c>
      <c r="I46" t="s">
        <v>78</v>
      </c>
      <c r="K46">
        <f>SUM(O2:O21)</f>
        <v>63546</v>
      </c>
    </row>
    <row r="48" spans="4:11" x14ac:dyDescent="0.3">
      <c r="D48" s="10" t="s">
        <v>54</v>
      </c>
    </row>
    <row r="49" spans="1:5" x14ac:dyDescent="0.3">
      <c r="D49" s="10" t="s">
        <v>55</v>
      </c>
      <c r="E49" t="s">
        <v>79</v>
      </c>
    </row>
    <row r="50" spans="1:5" x14ac:dyDescent="0.3">
      <c r="D50" s="10" t="s">
        <v>64</v>
      </c>
    </row>
    <row r="51" spans="1:5" x14ac:dyDescent="0.3">
      <c r="D51" s="13" t="s">
        <v>65</v>
      </c>
    </row>
    <row r="54" spans="1:5" x14ac:dyDescent="0.3">
      <c r="A54" s="3" t="s">
        <v>67</v>
      </c>
      <c r="B54" s="3" t="s">
        <v>68</v>
      </c>
      <c r="C54" s="3" t="s">
        <v>73</v>
      </c>
    </row>
    <row r="55" spans="1:5" x14ac:dyDescent="0.3">
      <c r="A55" s="3" t="s">
        <v>69</v>
      </c>
      <c r="B55" s="3">
        <v>500</v>
      </c>
      <c r="C55" s="3">
        <v>1</v>
      </c>
    </row>
    <row r="56" spans="1:5" x14ac:dyDescent="0.3">
      <c r="A56" s="3" t="s">
        <v>69</v>
      </c>
      <c r="B56" s="3">
        <v>200</v>
      </c>
      <c r="C56" s="3">
        <v>2</v>
      </c>
    </row>
    <row r="57" spans="1:5" x14ac:dyDescent="0.3">
      <c r="A57" s="3" t="s">
        <v>70</v>
      </c>
      <c r="B57" s="3">
        <v>500</v>
      </c>
      <c r="C57" s="3">
        <v>3</v>
      </c>
    </row>
    <row r="58" spans="1:5" x14ac:dyDescent="0.3">
      <c r="A58" s="3" t="s">
        <v>71</v>
      </c>
      <c r="B58" s="3">
        <v>1000</v>
      </c>
      <c r="C58" s="3">
        <v>4</v>
      </c>
    </row>
    <row r="59" spans="1:5" x14ac:dyDescent="0.3">
      <c r="A59" s="3" t="s">
        <v>72</v>
      </c>
      <c r="B59" s="3">
        <v>600</v>
      </c>
      <c r="C59" s="3">
        <v>5</v>
      </c>
    </row>
    <row r="61" spans="1:5" x14ac:dyDescent="0.3">
      <c r="B61" t="s">
        <v>74</v>
      </c>
    </row>
    <row r="62" spans="1:5" x14ac:dyDescent="0.3">
      <c r="B62" t="s">
        <v>75</v>
      </c>
    </row>
    <row r="63" spans="1:5" x14ac:dyDescent="0.3">
      <c r="B63" t="s">
        <v>76</v>
      </c>
    </row>
    <row r="64" spans="1:5" x14ac:dyDescent="0.3">
      <c r="B64" t="s">
        <v>77</v>
      </c>
    </row>
  </sheetData>
  <conditionalFormatting sqref="A1:F1 A2:B21">
    <cfRule type="duplicateValues" dxfId="5" priority="4"/>
  </conditionalFormatting>
  <conditionalFormatting sqref="C1">
    <cfRule type="containsText" dxfId="4" priority="7" operator="containsText" text="Corporate">
      <formula>NOT(ISERROR(SEARCH("Corporate",C1)))</formula>
    </cfRule>
  </conditionalFormatting>
  <conditionalFormatting sqref="D1">
    <cfRule type="containsText" dxfId="3" priority="6" operator="containsText" text="Furniture">
      <formula>NOT(ISERROR(SEARCH("Furniture",D1)))</formula>
    </cfRule>
  </conditionalFormatting>
  <conditionalFormatting sqref="I25:K32 I37:K40 K33:K36">
    <cfRule type="duplicateValues" dxfId="2" priority="3"/>
  </conditionalFormatting>
  <conditionalFormatting sqref="I25:K32 I37:K42 K33:K36">
    <cfRule type="duplicateValues" dxfId="1" priority="1"/>
  </conditionalFormatting>
  <conditionalFormatting sqref="I41:K4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Rohan Lande</cp:lastModifiedBy>
  <dcterms:created xsi:type="dcterms:W3CDTF">2024-06-11T03:33:38Z</dcterms:created>
  <dcterms:modified xsi:type="dcterms:W3CDTF">2025-12-23T13:33:19Z</dcterms:modified>
</cp:coreProperties>
</file>