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lande\OneDrive\Documents\Data_Analysis_1001\Advance - Excel - Practice_HW\"/>
    </mc:Choice>
  </mc:AlternateContent>
  <xr:revisionPtr revIDLastSave="0" documentId="13_ncr:1_{4A2E7207-4BDA-4049-B53E-F47CD68CEEF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untIF" sheetId="1" r:id="rId1"/>
  </sheets>
  <definedNames>
    <definedName name="_xlnm._FilterDatabase" localSheetId="0" hidden="1">CountIF!$A$3:$B$53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9" i="1" l="1"/>
  <c r="G8" i="1"/>
  <c r="G7" i="1"/>
  <c r="G6" i="1"/>
  <c r="G5" i="1"/>
  <c r="F9" i="1"/>
  <c r="F8" i="1"/>
  <c r="F7" i="1"/>
  <c r="F6" i="1"/>
  <c r="F5" i="1"/>
</calcChain>
</file>

<file path=xl/sharedStrings.xml><?xml version="1.0" encoding="utf-8"?>
<sst xmlns="http://schemas.openxmlformats.org/spreadsheetml/2006/main" count="112" uniqueCount="62">
  <si>
    <t>Student</t>
  </si>
  <si>
    <t>Grades</t>
  </si>
  <si>
    <t>Grade</t>
  </si>
  <si>
    <t>Student 1</t>
  </si>
  <si>
    <t>A</t>
  </si>
  <si>
    <t>Student 2</t>
  </si>
  <si>
    <t>B</t>
  </si>
  <si>
    <t>Student 3</t>
  </si>
  <si>
    <t>C</t>
  </si>
  <si>
    <t>Student 4</t>
  </si>
  <si>
    <t>D</t>
  </si>
  <si>
    <t>Student 5</t>
  </si>
  <si>
    <t>F</t>
  </si>
  <si>
    <t>Student 6</t>
  </si>
  <si>
    <t>Student 7</t>
  </si>
  <si>
    <t>Student 8</t>
  </si>
  <si>
    <t>Student 9</t>
  </si>
  <si>
    <t>Student 10</t>
  </si>
  <si>
    <t>Student 11</t>
  </si>
  <si>
    <t>Student 12</t>
  </si>
  <si>
    <t>Student 13</t>
  </si>
  <si>
    <t>Student 14</t>
  </si>
  <si>
    <t>Student 15</t>
  </si>
  <si>
    <t>Student 16</t>
  </si>
  <si>
    <t>Student 17</t>
  </si>
  <si>
    <t>Student 18</t>
  </si>
  <si>
    <t>Student 19</t>
  </si>
  <si>
    <t>Student 20</t>
  </si>
  <si>
    <t>Student 21</t>
  </si>
  <si>
    <t>Student 22</t>
  </si>
  <si>
    <t>Student 23</t>
  </si>
  <si>
    <t>Student 24</t>
  </si>
  <si>
    <t>Student 25</t>
  </si>
  <si>
    <t>Student 26</t>
  </si>
  <si>
    <t>Student 27</t>
  </si>
  <si>
    <t>Student 28</t>
  </si>
  <si>
    <t>Student 29</t>
  </si>
  <si>
    <t>Student 30</t>
  </si>
  <si>
    <t>Student 31</t>
  </si>
  <si>
    <t>Student 32</t>
  </si>
  <si>
    <t>Student 33</t>
  </si>
  <si>
    <t>Student 34</t>
  </si>
  <si>
    <t>Student 35</t>
  </si>
  <si>
    <t>Student 36</t>
  </si>
  <si>
    <t>Student 37</t>
  </si>
  <si>
    <t>Student 38</t>
  </si>
  <si>
    <t>Student 39</t>
  </si>
  <si>
    <t>Student 40</t>
  </si>
  <si>
    <t>Student 41</t>
  </si>
  <si>
    <t>Student 42</t>
  </si>
  <si>
    <t>Student 43</t>
  </si>
  <si>
    <t>Student 44</t>
  </si>
  <si>
    <t>Student 45</t>
  </si>
  <si>
    <t>Student 46</t>
  </si>
  <si>
    <t>Student 47</t>
  </si>
  <si>
    <t>Student 48</t>
  </si>
  <si>
    <t>Student 49</t>
  </si>
  <si>
    <t>Student 50</t>
  </si>
  <si>
    <t>Scores</t>
  </si>
  <si>
    <t>Q. For the student database given alongside, Find the grades Accordingly and count rows</t>
  </si>
  <si>
    <t>Min_score</t>
  </si>
  <si>
    <t>Max_score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</si>
</sst>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1"/>
      <color indexed="10"/>
      <name val="Museo Sans For Dell"/>
    </font>
    <font>
      <i/>
      <sz val="11"/>
      <color indexed="16"/>
      <name val="Museo Sans For Dell"/>
    </font>
    <font>
      <b/>
      <i/>
      <sz val="11"/>
      <color indexed="20"/>
      <name val="Museo Sans For Dell"/>
    </font>
    <font>
      <b/>
      <i/>
      <sz val="11"/>
      <color indexed="16"/>
      <name val="Museo Sans For Dell"/>
    </font>
    <font>
      <sz val="11"/>
      <color indexed="9"/>
      <name val="Museo Sans For Dell"/>
    </font>
    <font>
      <sz val="11"/>
      <color theme="1"/>
      <name val="Museo Sans For Dell"/>
    </font>
    <font>
      <b/>
      <sz val="11"/>
      <color indexed="16"/>
      <name val="Museo Sans For Dell"/>
    </font>
    <font>
      <sz val="11"/>
      <name val="Museo Sans For Dell"/>
    </font>
  </fonts>
  <fills count="4">
    <fill>
      <patternFill patternType="none"/>
    </fill>
    <fill>
      <patternFill patternType="gray125"/>
    </fill>
    <fill>
      <patternFill patternType="solid">
        <fgColor rgb="FF0085C3"/>
        <bgColor indexed="64"/>
      </patternFill>
    </fill>
    <fill>
      <patternFill patternType="solid">
        <fgColor indexed="4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5" fillId="2" borderId="1" xfId="0" applyFont="1" applyFill="1" applyBorder="1" applyAlignment="1">
      <alignment horizontal="center"/>
    </xf>
    <xf numFmtId="0" fontId="8" fillId="3" borderId="2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8" fillId="3" borderId="3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3" fillId="0" borderId="1" xfId="0" applyFont="1" applyBorder="1"/>
    <xf numFmtId="0" fontId="6" fillId="0" borderId="1" xfId="0" applyFont="1" applyBorder="1"/>
    <xf numFmtId="0" fontId="0" fillId="0" borderId="1" xfId="0" applyBorder="1"/>
    <xf numFmtId="0" fontId="2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6" fillId="0" borderId="4" xfId="0" applyFont="1" applyBorder="1"/>
    <xf numFmtId="0" fontId="7" fillId="0" borderId="5" xfId="0" applyFont="1" applyBorder="1"/>
    <xf numFmtId="0" fontId="5" fillId="2" borderId="6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6" fillId="0" borderId="9" xfId="0" applyFont="1" applyBorder="1"/>
    <xf numFmtId="0" fontId="6" fillId="0" borderId="10" xfId="0" applyFont="1" applyBorder="1"/>
    <xf numFmtId="0" fontId="7" fillId="0" borderId="11" xfId="0" applyFont="1" applyBorder="1"/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9"/>
        <name val="Museo Sans For Dell"/>
        <scheme val="none"/>
      </font>
      <fill>
        <patternFill patternType="solid">
          <fgColor indexed="64"/>
          <bgColor rgb="FF0085C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6"/>
        <name val="Museo Sans For Dell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useo Sans For Del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useo Sans For Dell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65BE6B-A348-4788-8270-E6CFCC86D395}" name="Table" displayName="Table" ref="A3:C53" totalsRowShown="0" headerRowDxfId="0" headerRowBorderDxfId="5" tableBorderDxfId="6" totalsRowBorderDxfId="4">
  <autoFilter ref="A3:C53" xr:uid="{0565BE6B-A348-4788-8270-E6CFCC86D395}"/>
  <tableColumns count="3">
    <tableColumn id="1" xr3:uid="{0D53086A-8FA0-43C7-BDE4-1E2B2D629B65}" name="Student" dataDxfId="3"/>
    <tableColumn id="2" xr3:uid="{4A58C980-811A-4A45-8121-E286FBFF3C17}" name="Scores" dataDxfId="2"/>
    <tableColumn id="3" xr3:uid="{59866769-950F-47E6-BB4C-B03000EDB576}" name="Grades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3"/>
  <sheetViews>
    <sheetView showGridLines="0" tabSelected="1" zoomScale="88" workbookViewId="0">
      <selection activeCell="J14" sqref="J14"/>
    </sheetView>
  </sheetViews>
  <sheetFormatPr defaultRowHeight="14.4"/>
  <cols>
    <col min="1" max="1" width="20.21875" style="9" customWidth="1"/>
    <col min="2" max="2" width="22.6640625" style="9" customWidth="1"/>
    <col min="3" max="3" width="20.33203125" style="9" customWidth="1"/>
    <col min="4" max="4" width="23.5546875" customWidth="1"/>
    <col min="6" max="6" width="12.88671875" customWidth="1"/>
    <col min="7" max="7" width="14" customWidth="1"/>
  </cols>
  <sheetData>
    <row r="1" spans="1:8">
      <c r="A1" s="6" t="s">
        <v>59</v>
      </c>
      <c r="B1" s="10"/>
      <c r="C1" s="12"/>
    </row>
    <row r="2" spans="1:8">
      <c r="A2" s="7"/>
      <c r="B2" s="11"/>
      <c r="C2" s="11"/>
    </row>
    <row r="3" spans="1:8">
      <c r="A3" s="15" t="s">
        <v>0</v>
      </c>
      <c r="B3" s="16" t="s">
        <v>58</v>
      </c>
      <c r="C3" s="17" t="s">
        <v>1</v>
      </c>
    </row>
    <row r="4" spans="1:8">
      <c r="A4" s="13" t="s">
        <v>3</v>
      </c>
      <c r="B4" s="8">
        <v>62</v>
      </c>
      <c r="C4" s="14" t="s">
        <v>4</v>
      </c>
      <c r="F4" s="1" t="s">
        <v>60</v>
      </c>
      <c r="G4" s="1" t="s">
        <v>61</v>
      </c>
      <c r="H4" s="1" t="s">
        <v>2</v>
      </c>
    </row>
    <row r="5" spans="1:8">
      <c r="A5" s="13" t="s">
        <v>5</v>
      </c>
      <c r="B5" s="8">
        <v>92</v>
      </c>
      <c r="C5" s="14" t="s">
        <v>6</v>
      </c>
      <c r="F5" s="2">
        <f>_xlfn.MINIFS(Table[Scores],Table[Grades],"A")</f>
        <v>31</v>
      </c>
      <c r="G5" s="2">
        <f>_xlfn.MAXIFS(Table[Scores],Table[Grades],"A")</f>
        <v>100</v>
      </c>
      <c r="H5" s="3" t="s">
        <v>4</v>
      </c>
    </row>
    <row r="6" spans="1:8">
      <c r="A6" s="13" t="s">
        <v>7</v>
      </c>
      <c r="B6" s="8">
        <v>52</v>
      </c>
      <c r="C6" s="14" t="s">
        <v>8</v>
      </c>
      <c r="F6" s="4">
        <f>_xlfn.MINIFS(Table[Scores],Table[Grades],"B")</f>
        <v>32</v>
      </c>
      <c r="G6" s="4">
        <f>_xlfn.MAXIFS(Table[Scores],Table[Grades],"B")</f>
        <v>94</v>
      </c>
      <c r="H6" s="5" t="s">
        <v>6</v>
      </c>
    </row>
    <row r="7" spans="1:8">
      <c r="A7" s="13" t="s">
        <v>9</v>
      </c>
      <c r="B7" s="8">
        <v>60</v>
      </c>
      <c r="C7" s="14" t="s">
        <v>10</v>
      </c>
      <c r="F7" s="4">
        <f>_xlfn.MINIFS(Table[Scores],Table[Grades],"C")</f>
        <v>40</v>
      </c>
      <c r="G7" s="4">
        <f>_xlfn.MAXIFS(Table[Scores],Table[Grades],"C")</f>
        <v>92</v>
      </c>
      <c r="H7" s="5" t="s">
        <v>8</v>
      </c>
    </row>
    <row r="8" spans="1:8">
      <c r="A8" s="13" t="s">
        <v>11</v>
      </c>
      <c r="B8" s="8">
        <v>81</v>
      </c>
      <c r="C8" s="14" t="s">
        <v>12</v>
      </c>
      <c r="F8" s="4">
        <f>_xlfn.MINIFS(Table[Scores],Table[Grades],"D")</f>
        <v>46</v>
      </c>
      <c r="G8" s="4">
        <f>_xlfn.MAXIFS(Table[Scores],Table[Grades],"D")</f>
        <v>93</v>
      </c>
      <c r="H8" s="5" t="s">
        <v>10</v>
      </c>
    </row>
    <row r="9" spans="1:8">
      <c r="A9" s="13" t="s">
        <v>13</v>
      </c>
      <c r="B9" s="8">
        <v>66</v>
      </c>
      <c r="C9" s="14" t="s">
        <v>4</v>
      </c>
      <c r="F9" s="4">
        <f>_xlfn.MINIFS(Table[Scores],Table[Grades],"F")</f>
        <v>51</v>
      </c>
      <c r="G9" s="4">
        <f>_xlfn.MAXIFS(Table[Scores],Table[Grades],"F")</f>
        <v>100</v>
      </c>
      <c r="H9" s="5" t="s">
        <v>12</v>
      </c>
    </row>
    <row r="10" spans="1:8">
      <c r="A10" s="13" t="s">
        <v>14</v>
      </c>
      <c r="B10" s="8">
        <v>63</v>
      </c>
      <c r="C10" s="14" t="s">
        <v>6</v>
      </c>
    </row>
    <row r="11" spans="1:8">
      <c r="A11" s="13" t="s">
        <v>15</v>
      </c>
      <c r="B11" s="8">
        <v>100</v>
      </c>
      <c r="C11" s="14" t="s">
        <v>12</v>
      </c>
    </row>
    <row r="12" spans="1:8">
      <c r="A12" s="13" t="s">
        <v>16</v>
      </c>
      <c r="B12" s="8">
        <v>46</v>
      </c>
      <c r="C12" s="14" t="s">
        <v>10</v>
      </c>
    </row>
    <row r="13" spans="1:8">
      <c r="A13" s="13" t="s">
        <v>17</v>
      </c>
      <c r="B13" s="8">
        <v>87</v>
      </c>
      <c r="C13" s="14" t="s">
        <v>12</v>
      </c>
    </row>
    <row r="14" spans="1:8">
      <c r="A14" s="13" t="s">
        <v>18</v>
      </c>
      <c r="B14" s="8">
        <v>93</v>
      </c>
      <c r="C14" s="14" t="s">
        <v>10</v>
      </c>
    </row>
    <row r="15" spans="1:8">
      <c r="A15" s="13" t="s">
        <v>19</v>
      </c>
      <c r="B15" s="8">
        <v>84</v>
      </c>
      <c r="C15" s="14" t="s">
        <v>4</v>
      </c>
    </row>
    <row r="16" spans="1:8">
      <c r="A16" s="13" t="s">
        <v>20</v>
      </c>
      <c r="B16" s="8">
        <v>44</v>
      </c>
      <c r="C16" s="14" t="s">
        <v>6</v>
      </c>
    </row>
    <row r="17" spans="1:3">
      <c r="A17" s="13" t="s">
        <v>21</v>
      </c>
      <c r="B17" s="8">
        <v>71</v>
      </c>
      <c r="C17" s="14" t="s">
        <v>8</v>
      </c>
    </row>
    <row r="18" spans="1:3">
      <c r="A18" s="13" t="s">
        <v>22</v>
      </c>
      <c r="B18" s="8">
        <v>100</v>
      </c>
      <c r="C18" s="14" t="s">
        <v>4</v>
      </c>
    </row>
    <row r="19" spans="1:3">
      <c r="A19" s="13" t="s">
        <v>23</v>
      </c>
      <c r="B19" s="8">
        <v>40</v>
      </c>
      <c r="C19" s="14" t="s">
        <v>8</v>
      </c>
    </row>
    <row r="20" spans="1:3">
      <c r="A20" s="13" t="s">
        <v>24</v>
      </c>
      <c r="B20" s="8">
        <v>35</v>
      </c>
      <c r="C20" s="14" t="s">
        <v>4</v>
      </c>
    </row>
    <row r="21" spans="1:3">
      <c r="A21" s="13" t="s">
        <v>25</v>
      </c>
      <c r="B21" s="8">
        <v>73</v>
      </c>
      <c r="C21" s="14" t="s">
        <v>6</v>
      </c>
    </row>
    <row r="22" spans="1:3">
      <c r="A22" s="13" t="s">
        <v>26</v>
      </c>
      <c r="B22" s="8">
        <v>99</v>
      </c>
      <c r="C22" s="14" t="s">
        <v>4</v>
      </c>
    </row>
    <row r="23" spans="1:3">
      <c r="A23" s="13" t="s">
        <v>27</v>
      </c>
      <c r="B23" s="8">
        <v>88</v>
      </c>
      <c r="C23" s="14" t="s">
        <v>12</v>
      </c>
    </row>
    <row r="24" spans="1:3">
      <c r="A24" s="13" t="s">
        <v>28</v>
      </c>
      <c r="B24" s="8">
        <v>90</v>
      </c>
      <c r="C24" s="14" t="s">
        <v>4</v>
      </c>
    </row>
    <row r="25" spans="1:3">
      <c r="A25" s="13" t="s">
        <v>29</v>
      </c>
      <c r="B25" s="8">
        <v>90</v>
      </c>
      <c r="C25" s="14" t="s">
        <v>6</v>
      </c>
    </row>
    <row r="26" spans="1:3">
      <c r="A26" s="13" t="s">
        <v>30</v>
      </c>
      <c r="B26" s="8">
        <v>44</v>
      </c>
      <c r="C26" s="14" t="s">
        <v>8</v>
      </c>
    </row>
    <row r="27" spans="1:3">
      <c r="A27" s="13" t="s">
        <v>31</v>
      </c>
      <c r="B27" s="8">
        <v>74</v>
      </c>
      <c r="C27" s="14" t="s">
        <v>6</v>
      </c>
    </row>
    <row r="28" spans="1:3">
      <c r="A28" s="13" t="s">
        <v>32</v>
      </c>
      <c r="B28" s="8">
        <v>46</v>
      </c>
      <c r="C28" s="14" t="s">
        <v>4</v>
      </c>
    </row>
    <row r="29" spans="1:3">
      <c r="A29" s="13" t="s">
        <v>33</v>
      </c>
      <c r="B29" s="8">
        <v>74</v>
      </c>
      <c r="C29" s="14" t="s">
        <v>10</v>
      </c>
    </row>
    <row r="30" spans="1:3">
      <c r="A30" s="13" t="s">
        <v>34</v>
      </c>
      <c r="B30" s="8">
        <v>92</v>
      </c>
      <c r="C30" s="14" t="s">
        <v>10</v>
      </c>
    </row>
    <row r="31" spans="1:3">
      <c r="A31" s="13" t="s">
        <v>35</v>
      </c>
      <c r="B31" s="8">
        <v>31</v>
      </c>
      <c r="C31" s="14" t="s">
        <v>4</v>
      </c>
    </row>
    <row r="32" spans="1:3">
      <c r="A32" s="13" t="s">
        <v>36</v>
      </c>
      <c r="B32" s="8">
        <v>51</v>
      </c>
      <c r="C32" s="14" t="s">
        <v>6</v>
      </c>
    </row>
    <row r="33" spans="1:3">
      <c r="A33" s="13" t="s">
        <v>37</v>
      </c>
      <c r="B33" s="8">
        <v>59</v>
      </c>
      <c r="C33" s="14" t="s">
        <v>4</v>
      </c>
    </row>
    <row r="34" spans="1:3">
      <c r="A34" s="13" t="s">
        <v>38</v>
      </c>
      <c r="B34" s="8">
        <v>85</v>
      </c>
      <c r="C34" s="14" t="s">
        <v>8</v>
      </c>
    </row>
    <row r="35" spans="1:3">
      <c r="A35" s="13" t="s">
        <v>39</v>
      </c>
      <c r="B35" s="8">
        <v>63</v>
      </c>
      <c r="C35" s="14" t="s">
        <v>10</v>
      </c>
    </row>
    <row r="36" spans="1:3">
      <c r="A36" s="13" t="s">
        <v>40</v>
      </c>
      <c r="B36" s="8">
        <v>60</v>
      </c>
      <c r="C36" s="14" t="s">
        <v>12</v>
      </c>
    </row>
    <row r="37" spans="1:3">
      <c r="A37" s="13" t="s">
        <v>41</v>
      </c>
      <c r="B37" s="8">
        <v>83</v>
      </c>
      <c r="C37" s="14" t="s">
        <v>10</v>
      </c>
    </row>
    <row r="38" spans="1:3">
      <c r="A38" s="13" t="s">
        <v>42</v>
      </c>
      <c r="B38" s="8">
        <v>72</v>
      </c>
      <c r="C38" s="14" t="s">
        <v>4</v>
      </c>
    </row>
    <row r="39" spans="1:3">
      <c r="A39" s="13" t="s">
        <v>43</v>
      </c>
      <c r="B39" s="8">
        <v>94</v>
      </c>
      <c r="C39" s="14" t="s">
        <v>6</v>
      </c>
    </row>
    <row r="40" spans="1:3">
      <c r="A40" s="13" t="s">
        <v>44</v>
      </c>
      <c r="B40" s="8">
        <v>92</v>
      </c>
      <c r="C40" s="14" t="s">
        <v>8</v>
      </c>
    </row>
    <row r="41" spans="1:3">
      <c r="A41" s="13" t="s">
        <v>45</v>
      </c>
      <c r="B41" s="8">
        <v>92</v>
      </c>
      <c r="C41" s="14" t="s">
        <v>4</v>
      </c>
    </row>
    <row r="42" spans="1:3">
      <c r="A42" s="13" t="s">
        <v>46</v>
      </c>
      <c r="B42" s="8">
        <v>59</v>
      </c>
      <c r="C42" s="14" t="s">
        <v>8</v>
      </c>
    </row>
    <row r="43" spans="1:3">
      <c r="A43" s="13" t="s">
        <v>47</v>
      </c>
      <c r="B43" s="8">
        <v>51</v>
      </c>
      <c r="C43" s="14" t="s">
        <v>4</v>
      </c>
    </row>
    <row r="44" spans="1:3">
      <c r="A44" s="13" t="s">
        <v>48</v>
      </c>
      <c r="B44" s="8">
        <v>45</v>
      </c>
      <c r="C44" s="14" t="s">
        <v>6</v>
      </c>
    </row>
    <row r="45" spans="1:3">
      <c r="A45" s="13" t="s">
        <v>49</v>
      </c>
      <c r="B45" s="8">
        <v>89</v>
      </c>
      <c r="C45" s="14" t="s">
        <v>4</v>
      </c>
    </row>
    <row r="46" spans="1:3">
      <c r="A46" s="13" t="s">
        <v>50</v>
      </c>
      <c r="B46" s="8">
        <v>51</v>
      </c>
      <c r="C46" s="14" t="s">
        <v>12</v>
      </c>
    </row>
    <row r="47" spans="1:3">
      <c r="A47" s="13" t="s">
        <v>51</v>
      </c>
      <c r="B47" s="8">
        <v>84</v>
      </c>
      <c r="C47" s="14" t="s">
        <v>4</v>
      </c>
    </row>
    <row r="48" spans="1:3">
      <c r="A48" s="13" t="s">
        <v>52</v>
      </c>
      <c r="B48" s="8">
        <v>32</v>
      </c>
      <c r="C48" s="14" t="s">
        <v>6</v>
      </c>
    </row>
    <row r="49" spans="1:3">
      <c r="A49" s="13" t="s">
        <v>53</v>
      </c>
      <c r="B49" s="8">
        <v>73</v>
      </c>
      <c r="C49" s="14" t="s">
        <v>8</v>
      </c>
    </row>
    <row r="50" spans="1:3">
      <c r="A50" s="13" t="s">
        <v>54</v>
      </c>
      <c r="B50" s="8">
        <v>44</v>
      </c>
      <c r="C50" s="14" t="s">
        <v>6</v>
      </c>
    </row>
    <row r="51" spans="1:3">
      <c r="A51" s="13" t="s">
        <v>55</v>
      </c>
      <c r="B51" s="8">
        <v>81</v>
      </c>
      <c r="C51" s="14" t="s">
        <v>4</v>
      </c>
    </row>
    <row r="52" spans="1:3">
      <c r="A52" s="13" t="s">
        <v>56</v>
      </c>
      <c r="B52" s="8">
        <v>76</v>
      </c>
      <c r="C52" s="14" t="s">
        <v>10</v>
      </c>
    </row>
    <row r="53" spans="1:3">
      <c r="A53" s="18" t="s">
        <v>57</v>
      </c>
      <c r="B53" s="19">
        <v>89</v>
      </c>
      <c r="C53" s="20" t="s">
        <v>12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CountIF</vt:lpstr>
    </vt:vector>
  </TitlesOfParts>
  <Company>Alliance Data Card Services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Jha, Neha</dc:creator>
  <cp:lastModifiedBy>Rohan Lande</cp:lastModifiedBy>
  <dcterms:created xsi:type="dcterms:W3CDTF">2020-05-11T11:10:55Z</dcterms:created>
  <dcterms:modified xsi:type="dcterms:W3CDTF">2025-11-13T16:50:01Z</dcterms:modified>
</cp:coreProperties>
</file>