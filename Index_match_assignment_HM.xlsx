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AF5FFC62-D5C5-4772-8735-E2F988818B40}" xr6:coauthVersionLast="47" xr6:coauthVersionMax="47" xr10:uidLastSave="{00000000-0000-0000-0000-000000000000}"/>
  <bookViews>
    <workbookView xWindow="-108" yWindow="-108" windowWidth="23256" windowHeight="12456" activeTab="1" xr2:uid="{666F9E55-4EFB-4721-A7E8-F80BDF226625}"/>
  </bookViews>
  <sheets>
    <sheet name="sample_employee_sales" sheetId="1" r:id="rId1"/>
    <sheet name="Questions" sheetId="2" r:id="rId2"/>
  </sheets>
  <definedNames>
    <definedName name="_xlnm._FilterDatabase" localSheetId="0" hidden="1">sample_employee_sales!$A$1:$H$501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9" i="1" l="1"/>
  <c r="R3" i="1"/>
  <c r="Q34" i="1"/>
  <c r="Q35" i="1"/>
  <c r="Q39" i="1"/>
  <c r="P45" i="1"/>
  <c r="Q4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R4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S2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  <c r="R33" i="1"/>
  <c r="R23" i="1"/>
  <c r="Q24" i="1" s="1"/>
  <c r="Q15" i="1"/>
  <c r="Q11" i="1"/>
  <c r="Q7" i="1"/>
  <c r="Q19" i="1" l="1"/>
  <c r="Q20" i="1"/>
</calcChain>
</file>

<file path=xl/sharedStrings.xml><?xml version="1.0" encoding="utf-8"?>
<sst xmlns="http://schemas.openxmlformats.org/spreadsheetml/2006/main" count="3040" uniqueCount="1044">
  <si>
    <t>EmployeeID</t>
  </si>
  <si>
    <t>Name</t>
  </si>
  <si>
    <t>Department</t>
  </si>
  <si>
    <t>Location</t>
  </si>
  <si>
    <t>Gender</t>
  </si>
  <si>
    <t>Age</t>
  </si>
  <si>
    <t>Product</t>
  </si>
  <si>
    <t>SalesAmount</t>
  </si>
  <si>
    <t>E1000</t>
  </si>
  <si>
    <t>Emp_0</t>
  </si>
  <si>
    <t>Sales</t>
  </si>
  <si>
    <t>Delhi</t>
  </si>
  <si>
    <t>Female</t>
  </si>
  <si>
    <t>Monitor</t>
  </si>
  <si>
    <t>E1001</t>
  </si>
  <si>
    <t>Emp_1</t>
  </si>
  <si>
    <t>Mumbai</t>
  </si>
  <si>
    <t>Printer</t>
  </si>
  <si>
    <t>E1002</t>
  </si>
  <si>
    <t>Emp_2</t>
  </si>
  <si>
    <t>HR</t>
  </si>
  <si>
    <t>Bangalore</t>
  </si>
  <si>
    <t>E1003</t>
  </si>
  <si>
    <t>Emp_3</t>
  </si>
  <si>
    <t>Finance</t>
  </si>
  <si>
    <t>Pune</t>
  </si>
  <si>
    <t>Male</t>
  </si>
  <si>
    <t>Tablet</t>
  </si>
  <si>
    <t>E1004</t>
  </si>
  <si>
    <t>Emp_4</t>
  </si>
  <si>
    <t>E1005</t>
  </si>
  <si>
    <t>Emp_5</t>
  </si>
  <si>
    <t>Laptop</t>
  </si>
  <si>
    <t>E1006</t>
  </si>
  <si>
    <t>Emp_6</t>
  </si>
  <si>
    <t>E1007</t>
  </si>
  <si>
    <t>Emp_7</t>
  </si>
  <si>
    <t>Marketing</t>
  </si>
  <si>
    <t>E1008</t>
  </si>
  <si>
    <t>Emp_8</t>
  </si>
  <si>
    <t>E1009</t>
  </si>
  <si>
    <t>Emp_9</t>
  </si>
  <si>
    <t>E1010</t>
  </si>
  <si>
    <t>Emp_10</t>
  </si>
  <si>
    <t>IT</t>
  </si>
  <si>
    <t>E1011</t>
  </si>
  <si>
    <t>Emp_11</t>
  </si>
  <si>
    <t>E1012</t>
  </si>
  <si>
    <t>Emp_12</t>
  </si>
  <si>
    <t>E1013</t>
  </si>
  <si>
    <t>Emp_13</t>
  </si>
  <si>
    <t>E1014</t>
  </si>
  <si>
    <t>Emp_14</t>
  </si>
  <si>
    <t>E1015</t>
  </si>
  <si>
    <t>Emp_15</t>
  </si>
  <si>
    <t>Hyderabad</t>
  </si>
  <si>
    <t>E1016</t>
  </si>
  <si>
    <t>Emp_16</t>
  </si>
  <si>
    <t>E1017</t>
  </si>
  <si>
    <t>Emp_17</t>
  </si>
  <si>
    <t>E1018</t>
  </si>
  <si>
    <t>Emp_18</t>
  </si>
  <si>
    <t>Mobile</t>
  </si>
  <si>
    <t>E1019</t>
  </si>
  <si>
    <t>Emp_19</t>
  </si>
  <si>
    <t>E1020</t>
  </si>
  <si>
    <t>Emp_20</t>
  </si>
  <si>
    <t>E1021</t>
  </si>
  <si>
    <t>Emp_21</t>
  </si>
  <si>
    <t>E1022</t>
  </si>
  <si>
    <t>Emp_22</t>
  </si>
  <si>
    <t>E1023</t>
  </si>
  <si>
    <t>Emp_23</t>
  </si>
  <si>
    <t>E1024</t>
  </si>
  <si>
    <t>Emp_24</t>
  </si>
  <si>
    <t>E1025</t>
  </si>
  <si>
    <t>Emp_25</t>
  </si>
  <si>
    <t>E1026</t>
  </si>
  <si>
    <t>Emp_26</t>
  </si>
  <si>
    <t>E1027</t>
  </si>
  <si>
    <t>Emp_27</t>
  </si>
  <si>
    <t>E1028</t>
  </si>
  <si>
    <t>Emp_28</t>
  </si>
  <si>
    <t>E1029</t>
  </si>
  <si>
    <t>Emp_29</t>
  </si>
  <si>
    <t>E1030</t>
  </si>
  <si>
    <t>Emp_30</t>
  </si>
  <si>
    <t>E1031</t>
  </si>
  <si>
    <t>Emp_31</t>
  </si>
  <si>
    <t>E1032</t>
  </si>
  <si>
    <t>Emp_32</t>
  </si>
  <si>
    <t>E1033</t>
  </si>
  <si>
    <t>Emp_33</t>
  </si>
  <si>
    <t>E1034</t>
  </si>
  <si>
    <t>Emp_34</t>
  </si>
  <si>
    <t>E1035</t>
  </si>
  <si>
    <t>Emp_35</t>
  </si>
  <si>
    <t>E1036</t>
  </si>
  <si>
    <t>Emp_36</t>
  </si>
  <si>
    <t>E1037</t>
  </si>
  <si>
    <t>Emp_37</t>
  </si>
  <si>
    <t>E1038</t>
  </si>
  <si>
    <t>Emp_38</t>
  </si>
  <si>
    <t>E1039</t>
  </si>
  <si>
    <t>Emp_39</t>
  </si>
  <si>
    <t>E1040</t>
  </si>
  <si>
    <t>Emp_40</t>
  </si>
  <si>
    <t>E1041</t>
  </si>
  <si>
    <t>Emp_41</t>
  </si>
  <si>
    <t>E1042</t>
  </si>
  <si>
    <t>Emp_42</t>
  </si>
  <si>
    <t>E1043</t>
  </si>
  <si>
    <t>Emp_43</t>
  </si>
  <si>
    <t>E1044</t>
  </si>
  <si>
    <t>Emp_44</t>
  </si>
  <si>
    <t>E1045</t>
  </si>
  <si>
    <t>Emp_45</t>
  </si>
  <si>
    <t>E1046</t>
  </si>
  <si>
    <t>Emp_46</t>
  </si>
  <si>
    <t>E1047</t>
  </si>
  <si>
    <t>Emp_47</t>
  </si>
  <si>
    <t>E1048</t>
  </si>
  <si>
    <t>Emp_48</t>
  </si>
  <si>
    <t>E1049</t>
  </si>
  <si>
    <t>Emp_49</t>
  </si>
  <si>
    <t>E1050</t>
  </si>
  <si>
    <t>Emp_50</t>
  </si>
  <si>
    <t>E1051</t>
  </si>
  <si>
    <t>Emp_51</t>
  </si>
  <si>
    <t>E1052</t>
  </si>
  <si>
    <t>Emp_52</t>
  </si>
  <si>
    <t>E1053</t>
  </si>
  <si>
    <t>Emp_53</t>
  </si>
  <si>
    <t>E1054</t>
  </si>
  <si>
    <t>Emp_54</t>
  </si>
  <si>
    <t>E1055</t>
  </si>
  <si>
    <t>Emp_55</t>
  </si>
  <si>
    <t>E1056</t>
  </si>
  <si>
    <t>Emp_56</t>
  </si>
  <si>
    <t>E1057</t>
  </si>
  <si>
    <t>Emp_57</t>
  </si>
  <si>
    <t>E1058</t>
  </si>
  <si>
    <t>Emp_58</t>
  </si>
  <si>
    <t>E1059</t>
  </si>
  <si>
    <t>Emp_59</t>
  </si>
  <si>
    <t>E1060</t>
  </si>
  <si>
    <t>Emp_60</t>
  </si>
  <si>
    <t>E1061</t>
  </si>
  <si>
    <t>Emp_61</t>
  </si>
  <si>
    <t>E1062</t>
  </si>
  <si>
    <t>Emp_62</t>
  </si>
  <si>
    <t>E1063</t>
  </si>
  <si>
    <t>Emp_63</t>
  </si>
  <si>
    <t>E1064</t>
  </si>
  <si>
    <t>Emp_64</t>
  </si>
  <si>
    <t>E1065</t>
  </si>
  <si>
    <t>Emp_65</t>
  </si>
  <si>
    <t>E1066</t>
  </si>
  <si>
    <t>Emp_66</t>
  </si>
  <si>
    <t>E1067</t>
  </si>
  <si>
    <t>Emp_67</t>
  </si>
  <si>
    <t>E1068</t>
  </si>
  <si>
    <t>Emp_68</t>
  </si>
  <si>
    <t>E1069</t>
  </si>
  <si>
    <t>Emp_69</t>
  </si>
  <si>
    <t>E1070</t>
  </si>
  <si>
    <t>Emp_70</t>
  </si>
  <si>
    <t>E1071</t>
  </si>
  <si>
    <t>Emp_71</t>
  </si>
  <si>
    <t>E1072</t>
  </si>
  <si>
    <t>Emp_72</t>
  </si>
  <si>
    <t>E1073</t>
  </si>
  <si>
    <t>Emp_73</t>
  </si>
  <si>
    <t>E1074</t>
  </si>
  <si>
    <t>Emp_74</t>
  </si>
  <si>
    <t>E1075</t>
  </si>
  <si>
    <t>Emp_75</t>
  </si>
  <si>
    <t>E1076</t>
  </si>
  <si>
    <t>Emp_76</t>
  </si>
  <si>
    <t>E1077</t>
  </si>
  <si>
    <t>Emp_77</t>
  </si>
  <si>
    <t>E1078</t>
  </si>
  <si>
    <t>Emp_78</t>
  </si>
  <si>
    <t>E1079</t>
  </si>
  <si>
    <t>Emp_79</t>
  </si>
  <si>
    <t>E1080</t>
  </si>
  <si>
    <t>Emp_80</t>
  </si>
  <si>
    <t>E1081</t>
  </si>
  <si>
    <t>Emp_81</t>
  </si>
  <si>
    <t>E1082</t>
  </si>
  <si>
    <t>Emp_82</t>
  </si>
  <si>
    <t>E1083</t>
  </si>
  <si>
    <t>Emp_83</t>
  </si>
  <si>
    <t>E1084</t>
  </si>
  <si>
    <t>Emp_84</t>
  </si>
  <si>
    <t>E1085</t>
  </si>
  <si>
    <t>Emp_85</t>
  </si>
  <si>
    <t>E1086</t>
  </si>
  <si>
    <t>Emp_86</t>
  </si>
  <si>
    <t>E1087</t>
  </si>
  <si>
    <t>Emp_87</t>
  </si>
  <si>
    <t>E1088</t>
  </si>
  <si>
    <t>Emp_88</t>
  </si>
  <si>
    <t>E1089</t>
  </si>
  <si>
    <t>Emp_89</t>
  </si>
  <si>
    <t>E1090</t>
  </si>
  <si>
    <t>Emp_90</t>
  </si>
  <si>
    <t>E1091</t>
  </si>
  <si>
    <t>Emp_91</t>
  </si>
  <si>
    <t>E1092</t>
  </si>
  <si>
    <t>Emp_92</t>
  </si>
  <si>
    <t>E1093</t>
  </si>
  <si>
    <t>Emp_93</t>
  </si>
  <si>
    <t>E1094</t>
  </si>
  <si>
    <t>Emp_94</t>
  </si>
  <si>
    <t>E1095</t>
  </si>
  <si>
    <t>Emp_95</t>
  </si>
  <si>
    <t>E1096</t>
  </si>
  <si>
    <t>Emp_96</t>
  </si>
  <si>
    <t>E1097</t>
  </si>
  <si>
    <t>Emp_97</t>
  </si>
  <si>
    <t>E1098</t>
  </si>
  <si>
    <t>Emp_98</t>
  </si>
  <si>
    <t>E1099</t>
  </si>
  <si>
    <t>Emp_99</t>
  </si>
  <si>
    <t>E1100</t>
  </si>
  <si>
    <t>Emp_100</t>
  </si>
  <si>
    <t>E1101</t>
  </si>
  <si>
    <t>Emp_101</t>
  </si>
  <si>
    <t>E1102</t>
  </si>
  <si>
    <t>Emp_102</t>
  </si>
  <si>
    <t>E1103</t>
  </si>
  <si>
    <t>Emp_103</t>
  </si>
  <si>
    <t>E1104</t>
  </si>
  <si>
    <t>Emp_104</t>
  </si>
  <si>
    <t>E1105</t>
  </si>
  <si>
    <t>Emp_105</t>
  </si>
  <si>
    <t>E1106</t>
  </si>
  <si>
    <t>Emp_106</t>
  </si>
  <si>
    <t>E1107</t>
  </si>
  <si>
    <t>Emp_107</t>
  </si>
  <si>
    <t>E1108</t>
  </si>
  <si>
    <t>Emp_108</t>
  </si>
  <si>
    <t>E1109</t>
  </si>
  <si>
    <t>Emp_109</t>
  </si>
  <si>
    <t>E1110</t>
  </si>
  <si>
    <t>Emp_110</t>
  </si>
  <si>
    <t>E1111</t>
  </si>
  <si>
    <t>Emp_111</t>
  </si>
  <si>
    <t>E1112</t>
  </si>
  <si>
    <t>Emp_112</t>
  </si>
  <si>
    <t>E1113</t>
  </si>
  <si>
    <t>Emp_113</t>
  </si>
  <si>
    <t>E1114</t>
  </si>
  <si>
    <t>Emp_114</t>
  </si>
  <si>
    <t>E1115</t>
  </si>
  <si>
    <t>Emp_115</t>
  </si>
  <si>
    <t>E1116</t>
  </si>
  <si>
    <t>Emp_116</t>
  </si>
  <si>
    <t>E1117</t>
  </si>
  <si>
    <t>Emp_117</t>
  </si>
  <si>
    <t>E1118</t>
  </si>
  <si>
    <t>Emp_118</t>
  </si>
  <si>
    <t>E1119</t>
  </si>
  <si>
    <t>Emp_119</t>
  </si>
  <si>
    <t>E1120</t>
  </si>
  <si>
    <t>Emp_120</t>
  </si>
  <si>
    <t>E1121</t>
  </si>
  <si>
    <t>Emp_121</t>
  </si>
  <si>
    <t>E1122</t>
  </si>
  <si>
    <t>Emp_122</t>
  </si>
  <si>
    <t>E1123</t>
  </si>
  <si>
    <t>Emp_123</t>
  </si>
  <si>
    <t>E1124</t>
  </si>
  <si>
    <t>Emp_124</t>
  </si>
  <si>
    <t>E1125</t>
  </si>
  <si>
    <t>Emp_125</t>
  </si>
  <si>
    <t>E1126</t>
  </si>
  <si>
    <t>Emp_126</t>
  </si>
  <si>
    <t>E1127</t>
  </si>
  <si>
    <t>Emp_127</t>
  </si>
  <si>
    <t>E1128</t>
  </si>
  <si>
    <t>Emp_128</t>
  </si>
  <si>
    <t>E1129</t>
  </si>
  <si>
    <t>Emp_129</t>
  </si>
  <si>
    <t>E1130</t>
  </si>
  <si>
    <t>Emp_130</t>
  </si>
  <si>
    <t>E1131</t>
  </si>
  <si>
    <t>Emp_131</t>
  </si>
  <si>
    <t>E1132</t>
  </si>
  <si>
    <t>Emp_132</t>
  </si>
  <si>
    <t>E1133</t>
  </si>
  <si>
    <t>Emp_133</t>
  </si>
  <si>
    <t>E1134</t>
  </si>
  <si>
    <t>Emp_134</t>
  </si>
  <si>
    <t>E1135</t>
  </si>
  <si>
    <t>Emp_135</t>
  </si>
  <si>
    <t>E1136</t>
  </si>
  <si>
    <t>Emp_136</t>
  </si>
  <si>
    <t>E1137</t>
  </si>
  <si>
    <t>Emp_137</t>
  </si>
  <si>
    <t>E1138</t>
  </si>
  <si>
    <t>Emp_138</t>
  </si>
  <si>
    <t>E1139</t>
  </si>
  <si>
    <t>Emp_139</t>
  </si>
  <si>
    <t>E1140</t>
  </si>
  <si>
    <t>Emp_140</t>
  </si>
  <si>
    <t>E1141</t>
  </si>
  <si>
    <t>Emp_141</t>
  </si>
  <si>
    <t>E1142</t>
  </si>
  <si>
    <t>Emp_142</t>
  </si>
  <si>
    <t>E1143</t>
  </si>
  <si>
    <t>Emp_143</t>
  </si>
  <si>
    <t>E1144</t>
  </si>
  <si>
    <t>Emp_144</t>
  </si>
  <si>
    <t>E1145</t>
  </si>
  <si>
    <t>Emp_145</t>
  </si>
  <si>
    <t>E1146</t>
  </si>
  <si>
    <t>Emp_146</t>
  </si>
  <si>
    <t>E1147</t>
  </si>
  <si>
    <t>Emp_147</t>
  </si>
  <si>
    <t>E1148</t>
  </si>
  <si>
    <t>Emp_148</t>
  </si>
  <si>
    <t>E1149</t>
  </si>
  <si>
    <t>Emp_149</t>
  </si>
  <si>
    <t>E1150</t>
  </si>
  <si>
    <t>Emp_150</t>
  </si>
  <si>
    <t>E1151</t>
  </si>
  <si>
    <t>Emp_151</t>
  </si>
  <si>
    <t>E1152</t>
  </si>
  <si>
    <t>Emp_152</t>
  </si>
  <si>
    <t>E1153</t>
  </si>
  <si>
    <t>Emp_153</t>
  </si>
  <si>
    <t>E1154</t>
  </si>
  <si>
    <t>Emp_154</t>
  </si>
  <si>
    <t>E1155</t>
  </si>
  <si>
    <t>Emp_155</t>
  </si>
  <si>
    <t>E1156</t>
  </si>
  <si>
    <t>Emp_156</t>
  </si>
  <si>
    <t>E1157</t>
  </si>
  <si>
    <t>Emp_157</t>
  </si>
  <si>
    <t>E1158</t>
  </si>
  <si>
    <t>Emp_158</t>
  </si>
  <si>
    <t>E1159</t>
  </si>
  <si>
    <t>Emp_159</t>
  </si>
  <si>
    <t>E1160</t>
  </si>
  <si>
    <t>Emp_160</t>
  </si>
  <si>
    <t>E1161</t>
  </si>
  <si>
    <t>Emp_161</t>
  </si>
  <si>
    <t>E1162</t>
  </si>
  <si>
    <t>Emp_162</t>
  </si>
  <si>
    <t>E1163</t>
  </si>
  <si>
    <t>Emp_163</t>
  </si>
  <si>
    <t>E1164</t>
  </si>
  <si>
    <t>Emp_164</t>
  </si>
  <si>
    <t>E1165</t>
  </si>
  <si>
    <t>Emp_165</t>
  </si>
  <si>
    <t>E1166</t>
  </si>
  <si>
    <t>Emp_166</t>
  </si>
  <si>
    <t>E1167</t>
  </si>
  <si>
    <t>Emp_167</t>
  </si>
  <si>
    <t>E1168</t>
  </si>
  <si>
    <t>Emp_168</t>
  </si>
  <si>
    <t>E1169</t>
  </si>
  <si>
    <t>Emp_169</t>
  </si>
  <si>
    <t>E1170</t>
  </si>
  <si>
    <t>Emp_170</t>
  </si>
  <si>
    <t>E1171</t>
  </si>
  <si>
    <t>Emp_171</t>
  </si>
  <si>
    <t>E1172</t>
  </si>
  <si>
    <t>Emp_172</t>
  </si>
  <si>
    <t>E1173</t>
  </si>
  <si>
    <t>Emp_173</t>
  </si>
  <si>
    <t>E1174</t>
  </si>
  <si>
    <t>Emp_174</t>
  </si>
  <si>
    <t>E1175</t>
  </si>
  <si>
    <t>Emp_175</t>
  </si>
  <si>
    <t>E1176</t>
  </si>
  <si>
    <t>Emp_176</t>
  </si>
  <si>
    <t>E1177</t>
  </si>
  <si>
    <t>Emp_177</t>
  </si>
  <si>
    <t>E1178</t>
  </si>
  <si>
    <t>Emp_178</t>
  </si>
  <si>
    <t>E1179</t>
  </si>
  <si>
    <t>Emp_179</t>
  </si>
  <si>
    <t>E1180</t>
  </si>
  <si>
    <t>Emp_180</t>
  </si>
  <si>
    <t>E1181</t>
  </si>
  <si>
    <t>Emp_181</t>
  </si>
  <si>
    <t>E1182</t>
  </si>
  <si>
    <t>Emp_182</t>
  </si>
  <si>
    <t>E1183</t>
  </si>
  <si>
    <t>Emp_183</t>
  </si>
  <si>
    <t>E1184</t>
  </si>
  <si>
    <t>Emp_184</t>
  </si>
  <si>
    <t>E1185</t>
  </si>
  <si>
    <t>Emp_185</t>
  </si>
  <si>
    <t>E1186</t>
  </si>
  <si>
    <t>Emp_186</t>
  </si>
  <si>
    <t>E1187</t>
  </si>
  <si>
    <t>Emp_187</t>
  </si>
  <si>
    <t>E1188</t>
  </si>
  <si>
    <t>Emp_188</t>
  </si>
  <si>
    <t>E1189</t>
  </si>
  <si>
    <t>Emp_189</t>
  </si>
  <si>
    <t>E1190</t>
  </si>
  <si>
    <t>Emp_190</t>
  </si>
  <si>
    <t>E1191</t>
  </si>
  <si>
    <t>Emp_191</t>
  </si>
  <si>
    <t>E1192</t>
  </si>
  <si>
    <t>Emp_192</t>
  </si>
  <si>
    <t>E1193</t>
  </si>
  <si>
    <t>Emp_193</t>
  </si>
  <si>
    <t>E1194</t>
  </si>
  <si>
    <t>Emp_194</t>
  </si>
  <si>
    <t>E1195</t>
  </si>
  <si>
    <t>Emp_195</t>
  </si>
  <si>
    <t>E1196</t>
  </si>
  <si>
    <t>Emp_196</t>
  </si>
  <si>
    <t>E1197</t>
  </si>
  <si>
    <t>Emp_197</t>
  </si>
  <si>
    <t>E1198</t>
  </si>
  <si>
    <t>Emp_198</t>
  </si>
  <si>
    <t>E1199</t>
  </si>
  <si>
    <t>Emp_199</t>
  </si>
  <si>
    <t>E1200</t>
  </si>
  <si>
    <t>Emp_200</t>
  </si>
  <si>
    <t>E1201</t>
  </si>
  <si>
    <t>Emp_201</t>
  </si>
  <si>
    <t>E1202</t>
  </si>
  <si>
    <t>Emp_202</t>
  </si>
  <si>
    <t>E1203</t>
  </si>
  <si>
    <t>Emp_203</t>
  </si>
  <si>
    <t>E1204</t>
  </si>
  <si>
    <t>Emp_204</t>
  </si>
  <si>
    <t>E1205</t>
  </si>
  <si>
    <t>Emp_205</t>
  </si>
  <si>
    <t>E1206</t>
  </si>
  <si>
    <t>Emp_206</t>
  </si>
  <si>
    <t>E1207</t>
  </si>
  <si>
    <t>Emp_207</t>
  </si>
  <si>
    <t>E1208</t>
  </si>
  <si>
    <t>Emp_208</t>
  </si>
  <si>
    <t>E1209</t>
  </si>
  <si>
    <t>Emp_209</t>
  </si>
  <si>
    <t>E1210</t>
  </si>
  <si>
    <t>Emp_210</t>
  </si>
  <si>
    <t>E1211</t>
  </si>
  <si>
    <t>Emp_211</t>
  </si>
  <si>
    <t>E1212</t>
  </si>
  <si>
    <t>Emp_212</t>
  </si>
  <si>
    <t>E1213</t>
  </si>
  <si>
    <t>Emp_213</t>
  </si>
  <si>
    <t>E1214</t>
  </si>
  <si>
    <t>Emp_214</t>
  </si>
  <si>
    <t>E1215</t>
  </si>
  <si>
    <t>Emp_215</t>
  </si>
  <si>
    <t>E1216</t>
  </si>
  <si>
    <t>Emp_216</t>
  </si>
  <si>
    <t>E1217</t>
  </si>
  <si>
    <t>Emp_217</t>
  </si>
  <si>
    <t>E1218</t>
  </si>
  <si>
    <t>Emp_218</t>
  </si>
  <si>
    <t>E1219</t>
  </si>
  <si>
    <t>Emp_219</t>
  </si>
  <si>
    <t>E1220</t>
  </si>
  <si>
    <t>Emp_220</t>
  </si>
  <si>
    <t>E1221</t>
  </si>
  <si>
    <t>Emp_221</t>
  </si>
  <si>
    <t>E1222</t>
  </si>
  <si>
    <t>Emp_222</t>
  </si>
  <si>
    <t>E1223</t>
  </si>
  <si>
    <t>Emp_223</t>
  </si>
  <si>
    <t>E1224</t>
  </si>
  <si>
    <t>Emp_224</t>
  </si>
  <si>
    <t>E1225</t>
  </si>
  <si>
    <t>Emp_225</t>
  </si>
  <si>
    <t>E1226</t>
  </si>
  <si>
    <t>Emp_226</t>
  </si>
  <si>
    <t>E1227</t>
  </si>
  <si>
    <t>Emp_227</t>
  </si>
  <si>
    <t>E1228</t>
  </si>
  <si>
    <t>Emp_228</t>
  </si>
  <si>
    <t>E1229</t>
  </si>
  <si>
    <t>Emp_229</t>
  </si>
  <si>
    <t>E1230</t>
  </si>
  <si>
    <t>Emp_230</t>
  </si>
  <si>
    <t>E1231</t>
  </si>
  <si>
    <t>Emp_231</t>
  </si>
  <si>
    <t>E1232</t>
  </si>
  <si>
    <t>Emp_232</t>
  </si>
  <si>
    <t>E1233</t>
  </si>
  <si>
    <t>Emp_233</t>
  </si>
  <si>
    <t>E1234</t>
  </si>
  <si>
    <t>Emp_234</t>
  </si>
  <si>
    <t>E1235</t>
  </si>
  <si>
    <t>Emp_235</t>
  </si>
  <si>
    <t>E1236</t>
  </si>
  <si>
    <t>Emp_236</t>
  </si>
  <si>
    <t>E1237</t>
  </si>
  <si>
    <t>Emp_237</t>
  </si>
  <si>
    <t>E1238</t>
  </si>
  <si>
    <t>Emp_238</t>
  </si>
  <si>
    <t>E1239</t>
  </si>
  <si>
    <t>Emp_239</t>
  </si>
  <si>
    <t>E1240</t>
  </si>
  <si>
    <t>Emp_240</t>
  </si>
  <si>
    <t>E1241</t>
  </si>
  <si>
    <t>Emp_241</t>
  </si>
  <si>
    <t>E1242</t>
  </si>
  <si>
    <t>Emp_242</t>
  </si>
  <si>
    <t>E1243</t>
  </si>
  <si>
    <t>Emp_243</t>
  </si>
  <si>
    <t>E1244</t>
  </si>
  <si>
    <t>Emp_244</t>
  </si>
  <si>
    <t>E1245</t>
  </si>
  <si>
    <t>Emp_245</t>
  </si>
  <si>
    <t>E1246</t>
  </si>
  <si>
    <t>Emp_246</t>
  </si>
  <si>
    <t>E1247</t>
  </si>
  <si>
    <t>Emp_247</t>
  </si>
  <si>
    <t>E1248</t>
  </si>
  <si>
    <t>Emp_248</t>
  </si>
  <si>
    <t>E1249</t>
  </si>
  <si>
    <t>Emp_249</t>
  </si>
  <si>
    <t>E1250</t>
  </si>
  <si>
    <t>Emp_250</t>
  </si>
  <si>
    <t>E1251</t>
  </si>
  <si>
    <t>Emp_251</t>
  </si>
  <si>
    <t>E1252</t>
  </si>
  <si>
    <t>Emp_252</t>
  </si>
  <si>
    <t>E1253</t>
  </si>
  <si>
    <t>Emp_253</t>
  </si>
  <si>
    <t>E1254</t>
  </si>
  <si>
    <t>Emp_254</t>
  </si>
  <si>
    <t>E1255</t>
  </si>
  <si>
    <t>Emp_255</t>
  </si>
  <si>
    <t>E1256</t>
  </si>
  <si>
    <t>Emp_256</t>
  </si>
  <si>
    <t>E1257</t>
  </si>
  <si>
    <t>Emp_257</t>
  </si>
  <si>
    <t>E1258</t>
  </si>
  <si>
    <t>Emp_258</t>
  </si>
  <si>
    <t>E1259</t>
  </si>
  <si>
    <t>Emp_259</t>
  </si>
  <si>
    <t>E1260</t>
  </si>
  <si>
    <t>Emp_260</t>
  </si>
  <si>
    <t>E1261</t>
  </si>
  <si>
    <t>Emp_261</t>
  </si>
  <si>
    <t>E1262</t>
  </si>
  <si>
    <t>Emp_262</t>
  </si>
  <si>
    <t>E1263</t>
  </si>
  <si>
    <t>Emp_263</t>
  </si>
  <si>
    <t>E1264</t>
  </si>
  <si>
    <t>Emp_264</t>
  </si>
  <si>
    <t>E1265</t>
  </si>
  <si>
    <t>Emp_265</t>
  </si>
  <si>
    <t>E1266</t>
  </si>
  <si>
    <t>Emp_266</t>
  </si>
  <si>
    <t>E1267</t>
  </si>
  <si>
    <t>Emp_267</t>
  </si>
  <si>
    <t>E1268</t>
  </si>
  <si>
    <t>Emp_268</t>
  </si>
  <si>
    <t>E1269</t>
  </si>
  <si>
    <t>Emp_269</t>
  </si>
  <si>
    <t>E1270</t>
  </si>
  <si>
    <t>Emp_270</t>
  </si>
  <si>
    <t>E1271</t>
  </si>
  <si>
    <t>Emp_271</t>
  </si>
  <si>
    <t>E1272</t>
  </si>
  <si>
    <t>Emp_272</t>
  </si>
  <si>
    <t>E1273</t>
  </si>
  <si>
    <t>Emp_273</t>
  </si>
  <si>
    <t>E1274</t>
  </si>
  <si>
    <t>Emp_274</t>
  </si>
  <si>
    <t>E1275</t>
  </si>
  <si>
    <t>Emp_275</t>
  </si>
  <si>
    <t>E1276</t>
  </si>
  <si>
    <t>Emp_276</t>
  </si>
  <si>
    <t>E1277</t>
  </si>
  <si>
    <t>Emp_277</t>
  </si>
  <si>
    <t>E1278</t>
  </si>
  <si>
    <t>Emp_278</t>
  </si>
  <si>
    <t>E1279</t>
  </si>
  <si>
    <t>Emp_279</t>
  </si>
  <si>
    <t>E1280</t>
  </si>
  <si>
    <t>Emp_280</t>
  </si>
  <si>
    <t>E1281</t>
  </si>
  <si>
    <t>Emp_281</t>
  </si>
  <si>
    <t>E1282</t>
  </si>
  <si>
    <t>Emp_282</t>
  </si>
  <si>
    <t>E1283</t>
  </si>
  <si>
    <t>Emp_283</t>
  </si>
  <si>
    <t>E1284</t>
  </si>
  <si>
    <t>Emp_284</t>
  </si>
  <si>
    <t>E1285</t>
  </si>
  <si>
    <t>Emp_285</t>
  </si>
  <si>
    <t>E1286</t>
  </si>
  <si>
    <t>Emp_286</t>
  </si>
  <si>
    <t>E1287</t>
  </si>
  <si>
    <t>Emp_287</t>
  </si>
  <si>
    <t>E1288</t>
  </si>
  <si>
    <t>Emp_288</t>
  </si>
  <si>
    <t>E1289</t>
  </si>
  <si>
    <t>Emp_289</t>
  </si>
  <si>
    <t>E1290</t>
  </si>
  <si>
    <t>Emp_290</t>
  </si>
  <si>
    <t>E1291</t>
  </si>
  <si>
    <t>Emp_291</t>
  </si>
  <si>
    <t>E1292</t>
  </si>
  <si>
    <t>Emp_292</t>
  </si>
  <si>
    <t>E1293</t>
  </si>
  <si>
    <t>Emp_293</t>
  </si>
  <si>
    <t>E1294</t>
  </si>
  <si>
    <t>Emp_294</t>
  </si>
  <si>
    <t>E1295</t>
  </si>
  <si>
    <t>Emp_295</t>
  </si>
  <si>
    <t>E1296</t>
  </si>
  <si>
    <t>Emp_296</t>
  </si>
  <si>
    <t>E1297</t>
  </si>
  <si>
    <t>Emp_297</t>
  </si>
  <si>
    <t>E1298</t>
  </si>
  <si>
    <t>Emp_298</t>
  </si>
  <si>
    <t>E1299</t>
  </si>
  <si>
    <t>Emp_299</t>
  </si>
  <si>
    <t>E1300</t>
  </si>
  <si>
    <t>Emp_300</t>
  </si>
  <si>
    <t>E1301</t>
  </si>
  <si>
    <t>Emp_301</t>
  </si>
  <si>
    <t>E1302</t>
  </si>
  <si>
    <t>Emp_302</t>
  </si>
  <si>
    <t>E1303</t>
  </si>
  <si>
    <t>Emp_303</t>
  </si>
  <si>
    <t>E1304</t>
  </si>
  <si>
    <t>Emp_304</t>
  </si>
  <si>
    <t>E1305</t>
  </si>
  <si>
    <t>Emp_305</t>
  </si>
  <si>
    <t>E1306</t>
  </si>
  <si>
    <t>Emp_306</t>
  </si>
  <si>
    <t>E1307</t>
  </si>
  <si>
    <t>Emp_307</t>
  </si>
  <si>
    <t>E1308</t>
  </si>
  <si>
    <t>Emp_308</t>
  </si>
  <si>
    <t>E1309</t>
  </si>
  <si>
    <t>Emp_309</t>
  </si>
  <si>
    <t>E1310</t>
  </si>
  <si>
    <t>Emp_310</t>
  </si>
  <si>
    <t>E1311</t>
  </si>
  <si>
    <t>Emp_311</t>
  </si>
  <si>
    <t>E1312</t>
  </si>
  <si>
    <t>Emp_312</t>
  </si>
  <si>
    <t>E1313</t>
  </si>
  <si>
    <t>Emp_313</t>
  </si>
  <si>
    <t>E1314</t>
  </si>
  <si>
    <t>Emp_314</t>
  </si>
  <si>
    <t>E1315</t>
  </si>
  <si>
    <t>Emp_315</t>
  </si>
  <si>
    <t>E1316</t>
  </si>
  <si>
    <t>Emp_316</t>
  </si>
  <si>
    <t>E1317</t>
  </si>
  <si>
    <t>Emp_317</t>
  </si>
  <si>
    <t>E1318</t>
  </si>
  <si>
    <t>Emp_318</t>
  </si>
  <si>
    <t>E1319</t>
  </si>
  <si>
    <t>Emp_319</t>
  </si>
  <si>
    <t>E1320</t>
  </si>
  <si>
    <t>Emp_320</t>
  </si>
  <si>
    <t>E1321</t>
  </si>
  <si>
    <t>Emp_321</t>
  </si>
  <si>
    <t>E1322</t>
  </si>
  <si>
    <t>Emp_322</t>
  </si>
  <si>
    <t>E1323</t>
  </si>
  <si>
    <t>Emp_323</t>
  </si>
  <si>
    <t>E1324</t>
  </si>
  <si>
    <t>Emp_324</t>
  </si>
  <si>
    <t>E1325</t>
  </si>
  <si>
    <t>Emp_325</t>
  </si>
  <si>
    <t>E1326</t>
  </si>
  <si>
    <t>Emp_326</t>
  </si>
  <si>
    <t>E1327</t>
  </si>
  <si>
    <t>Emp_327</t>
  </si>
  <si>
    <t>E1328</t>
  </si>
  <si>
    <t>Emp_328</t>
  </si>
  <si>
    <t>E1329</t>
  </si>
  <si>
    <t>Emp_329</t>
  </si>
  <si>
    <t>E1330</t>
  </si>
  <si>
    <t>Emp_330</t>
  </si>
  <si>
    <t>E1331</t>
  </si>
  <si>
    <t>Emp_331</t>
  </si>
  <si>
    <t>E1332</t>
  </si>
  <si>
    <t>Emp_332</t>
  </si>
  <si>
    <t>E1333</t>
  </si>
  <si>
    <t>Emp_333</t>
  </si>
  <si>
    <t>E1334</t>
  </si>
  <si>
    <t>Emp_334</t>
  </si>
  <si>
    <t>E1335</t>
  </si>
  <si>
    <t>Emp_335</t>
  </si>
  <si>
    <t>E1336</t>
  </si>
  <si>
    <t>Emp_336</t>
  </si>
  <si>
    <t>E1337</t>
  </si>
  <si>
    <t>Emp_337</t>
  </si>
  <si>
    <t>E1338</t>
  </si>
  <si>
    <t>Emp_338</t>
  </si>
  <si>
    <t>E1339</t>
  </si>
  <si>
    <t>Emp_339</t>
  </si>
  <si>
    <t>E1340</t>
  </si>
  <si>
    <t>Emp_340</t>
  </si>
  <si>
    <t>E1341</t>
  </si>
  <si>
    <t>Emp_341</t>
  </si>
  <si>
    <t>E1342</t>
  </si>
  <si>
    <t>Emp_342</t>
  </si>
  <si>
    <t>E1343</t>
  </si>
  <si>
    <t>Emp_343</t>
  </si>
  <si>
    <t>E1344</t>
  </si>
  <si>
    <t>Emp_344</t>
  </si>
  <si>
    <t>E1345</t>
  </si>
  <si>
    <t>Emp_345</t>
  </si>
  <si>
    <t>E1346</t>
  </si>
  <si>
    <t>Emp_346</t>
  </si>
  <si>
    <t>E1347</t>
  </si>
  <si>
    <t>Emp_347</t>
  </si>
  <si>
    <t>E1348</t>
  </si>
  <si>
    <t>Emp_348</t>
  </si>
  <si>
    <t>E1349</t>
  </si>
  <si>
    <t>Emp_349</t>
  </si>
  <si>
    <t>E1350</t>
  </si>
  <si>
    <t>Emp_350</t>
  </si>
  <si>
    <t>E1351</t>
  </si>
  <si>
    <t>Emp_351</t>
  </si>
  <si>
    <t>E1352</t>
  </si>
  <si>
    <t>Emp_352</t>
  </si>
  <si>
    <t>E1353</t>
  </si>
  <si>
    <t>Emp_353</t>
  </si>
  <si>
    <t>E1354</t>
  </si>
  <si>
    <t>Emp_354</t>
  </si>
  <si>
    <t>E1355</t>
  </si>
  <si>
    <t>Emp_355</t>
  </si>
  <si>
    <t>E1356</t>
  </si>
  <si>
    <t>Emp_356</t>
  </si>
  <si>
    <t>E1357</t>
  </si>
  <si>
    <t>Emp_357</t>
  </si>
  <si>
    <t>E1358</t>
  </si>
  <si>
    <t>Emp_358</t>
  </si>
  <si>
    <t>E1359</t>
  </si>
  <si>
    <t>Emp_359</t>
  </si>
  <si>
    <t>E1360</t>
  </si>
  <si>
    <t>Emp_360</t>
  </si>
  <si>
    <t>E1361</t>
  </si>
  <si>
    <t>Emp_361</t>
  </si>
  <si>
    <t>E1362</t>
  </si>
  <si>
    <t>Emp_362</t>
  </si>
  <si>
    <t>E1363</t>
  </si>
  <si>
    <t>Emp_363</t>
  </si>
  <si>
    <t>E1364</t>
  </si>
  <si>
    <t>Emp_364</t>
  </si>
  <si>
    <t>E1365</t>
  </si>
  <si>
    <t>Emp_365</t>
  </si>
  <si>
    <t>E1366</t>
  </si>
  <si>
    <t>Emp_366</t>
  </si>
  <si>
    <t>E1367</t>
  </si>
  <si>
    <t>Emp_367</t>
  </si>
  <si>
    <t>E1368</t>
  </si>
  <si>
    <t>Emp_368</t>
  </si>
  <si>
    <t>E1369</t>
  </si>
  <si>
    <t>Emp_369</t>
  </si>
  <si>
    <t>E1370</t>
  </si>
  <si>
    <t>Emp_370</t>
  </si>
  <si>
    <t>E1371</t>
  </si>
  <si>
    <t>Emp_371</t>
  </si>
  <si>
    <t>E1372</t>
  </si>
  <si>
    <t>Emp_372</t>
  </si>
  <si>
    <t>E1373</t>
  </si>
  <si>
    <t>Emp_373</t>
  </si>
  <si>
    <t>E1374</t>
  </si>
  <si>
    <t>Emp_374</t>
  </si>
  <si>
    <t>E1375</t>
  </si>
  <si>
    <t>Emp_375</t>
  </si>
  <si>
    <t>E1376</t>
  </si>
  <si>
    <t>Emp_376</t>
  </si>
  <si>
    <t>E1377</t>
  </si>
  <si>
    <t>Emp_377</t>
  </si>
  <si>
    <t>E1378</t>
  </si>
  <si>
    <t>Emp_378</t>
  </si>
  <si>
    <t>E1379</t>
  </si>
  <si>
    <t>Emp_379</t>
  </si>
  <si>
    <t>E1380</t>
  </si>
  <si>
    <t>Emp_380</t>
  </si>
  <si>
    <t>E1381</t>
  </si>
  <si>
    <t>Emp_381</t>
  </si>
  <si>
    <t>E1382</t>
  </si>
  <si>
    <t>Emp_382</t>
  </si>
  <si>
    <t>E1383</t>
  </si>
  <si>
    <t>Emp_383</t>
  </si>
  <si>
    <t>E1384</t>
  </si>
  <si>
    <t>Emp_384</t>
  </si>
  <si>
    <t>E1385</t>
  </si>
  <si>
    <t>Emp_385</t>
  </si>
  <si>
    <t>E1386</t>
  </si>
  <si>
    <t>Emp_386</t>
  </si>
  <si>
    <t>E1387</t>
  </si>
  <si>
    <t>Emp_387</t>
  </si>
  <si>
    <t>E1388</t>
  </si>
  <si>
    <t>Emp_388</t>
  </si>
  <si>
    <t>E1389</t>
  </si>
  <si>
    <t>Emp_389</t>
  </si>
  <si>
    <t>E1390</t>
  </si>
  <si>
    <t>Emp_390</t>
  </si>
  <si>
    <t>E1391</t>
  </si>
  <si>
    <t>Emp_391</t>
  </si>
  <si>
    <t>E1392</t>
  </si>
  <si>
    <t>Emp_392</t>
  </si>
  <si>
    <t>E1393</t>
  </si>
  <si>
    <t>Emp_393</t>
  </si>
  <si>
    <t>E1394</t>
  </si>
  <si>
    <t>Emp_394</t>
  </si>
  <si>
    <t>E1395</t>
  </si>
  <si>
    <t>Emp_395</t>
  </si>
  <si>
    <t>E1396</t>
  </si>
  <si>
    <t>Emp_396</t>
  </si>
  <si>
    <t>E1397</t>
  </si>
  <si>
    <t>Emp_397</t>
  </si>
  <si>
    <t>E1398</t>
  </si>
  <si>
    <t>Emp_398</t>
  </si>
  <si>
    <t>E1399</t>
  </si>
  <si>
    <t>Emp_399</t>
  </si>
  <si>
    <t>E1400</t>
  </si>
  <si>
    <t>Emp_400</t>
  </si>
  <si>
    <t>E1401</t>
  </si>
  <si>
    <t>Emp_401</t>
  </si>
  <si>
    <t>E1402</t>
  </si>
  <si>
    <t>Emp_402</t>
  </si>
  <si>
    <t>E1403</t>
  </si>
  <si>
    <t>Emp_403</t>
  </si>
  <si>
    <t>E1404</t>
  </si>
  <si>
    <t>Emp_404</t>
  </si>
  <si>
    <t>E1405</t>
  </si>
  <si>
    <t>Emp_405</t>
  </si>
  <si>
    <t>E1406</t>
  </si>
  <si>
    <t>Emp_406</t>
  </si>
  <si>
    <t>E1407</t>
  </si>
  <si>
    <t>Emp_407</t>
  </si>
  <si>
    <t>E1408</t>
  </si>
  <si>
    <t>Emp_408</t>
  </si>
  <si>
    <t>E1409</t>
  </si>
  <si>
    <t>Emp_409</t>
  </si>
  <si>
    <t>E1410</t>
  </si>
  <si>
    <t>Emp_410</t>
  </si>
  <si>
    <t>E1411</t>
  </si>
  <si>
    <t>Emp_411</t>
  </si>
  <si>
    <t>E1412</t>
  </si>
  <si>
    <t>Emp_412</t>
  </si>
  <si>
    <t>E1413</t>
  </si>
  <si>
    <t>Emp_413</t>
  </si>
  <si>
    <t>E1414</t>
  </si>
  <si>
    <t>Emp_414</t>
  </si>
  <si>
    <t>E1415</t>
  </si>
  <si>
    <t>Emp_415</t>
  </si>
  <si>
    <t>E1416</t>
  </si>
  <si>
    <t>Emp_416</t>
  </si>
  <si>
    <t>E1417</t>
  </si>
  <si>
    <t>Emp_417</t>
  </si>
  <si>
    <t>E1418</t>
  </si>
  <si>
    <t>Emp_418</t>
  </si>
  <si>
    <t>E1419</t>
  </si>
  <si>
    <t>Emp_419</t>
  </si>
  <si>
    <t>E1420</t>
  </si>
  <si>
    <t>Emp_420</t>
  </si>
  <si>
    <t>E1421</t>
  </si>
  <si>
    <t>Emp_421</t>
  </si>
  <si>
    <t>E1422</t>
  </si>
  <si>
    <t>Emp_422</t>
  </si>
  <si>
    <t>E1423</t>
  </si>
  <si>
    <t>Emp_423</t>
  </si>
  <si>
    <t>E1424</t>
  </si>
  <si>
    <t>Emp_424</t>
  </si>
  <si>
    <t>E1425</t>
  </si>
  <si>
    <t>Emp_425</t>
  </si>
  <si>
    <t>E1426</t>
  </si>
  <si>
    <t>Emp_426</t>
  </si>
  <si>
    <t>E1427</t>
  </si>
  <si>
    <t>Emp_427</t>
  </si>
  <si>
    <t>E1428</t>
  </si>
  <si>
    <t>Emp_428</t>
  </si>
  <si>
    <t>E1429</t>
  </si>
  <si>
    <t>Emp_429</t>
  </si>
  <si>
    <t>E1430</t>
  </si>
  <si>
    <t>Emp_430</t>
  </si>
  <si>
    <t>E1431</t>
  </si>
  <si>
    <t>Emp_431</t>
  </si>
  <si>
    <t>E1432</t>
  </si>
  <si>
    <t>Emp_432</t>
  </si>
  <si>
    <t>E1433</t>
  </si>
  <si>
    <t>Emp_433</t>
  </si>
  <si>
    <t>E1434</t>
  </si>
  <si>
    <t>Emp_434</t>
  </si>
  <si>
    <t>E1435</t>
  </si>
  <si>
    <t>Emp_435</t>
  </si>
  <si>
    <t>E1436</t>
  </si>
  <si>
    <t>Emp_436</t>
  </si>
  <si>
    <t>E1437</t>
  </si>
  <si>
    <t>Emp_437</t>
  </si>
  <si>
    <t>E1438</t>
  </si>
  <si>
    <t>Emp_438</t>
  </si>
  <si>
    <t>E1439</t>
  </si>
  <si>
    <t>Emp_439</t>
  </si>
  <si>
    <t>E1440</t>
  </si>
  <si>
    <t>Emp_440</t>
  </si>
  <si>
    <t>E1441</t>
  </si>
  <si>
    <t>Emp_441</t>
  </si>
  <si>
    <t>E1442</t>
  </si>
  <si>
    <t>Emp_442</t>
  </si>
  <si>
    <t>E1443</t>
  </si>
  <si>
    <t>Emp_443</t>
  </si>
  <si>
    <t>E1444</t>
  </si>
  <si>
    <t>Emp_444</t>
  </si>
  <si>
    <t>E1445</t>
  </si>
  <si>
    <t>Emp_445</t>
  </si>
  <si>
    <t>E1446</t>
  </si>
  <si>
    <t>Emp_446</t>
  </si>
  <si>
    <t>E1447</t>
  </si>
  <si>
    <t>Emp_447</t>
  </si>
  <si>
    <t>E1448</t>
  </si>
  <si>
    <t>Emp_448</t>
  </si>
  <si>
    <t>E1449</t>
  </si>
  <si>
    <t>Emp_449</t>
  </si>
  <si>
    <t>E1450</t>
  </si>
  <si>
    <t>Emp_450</t>
  </si>
  <si>
    <t>E1451</t>
  </si>
  <si>
    <t>Emp_451</t>
  </si>
  <si>
    <t>E1452</t>
  </si>
  <si>
    <t>Emp_452</t>
  </si>
  <si>
    <t>E1453</t>
  </si>
  <si>
    <t>Emp_453</t>
  </si>
  <si>
    <t>E1454</t>
  </si>
  <si>
    <t>Emp_454</t>
  </si>
  <si>
    <t>E1455</t>
  </si>
  <si>
    <t>Emp_455</t>
  </si>
  <si>
    <t>E1456</t>
  </si>
  <si>
    <t>Emp_456</t>
  </si>
  <si>
    <t>E1457</t>
  </si>
  <si>
    <t>Emp_457</t>
  </si>
  <si>
    <t>E1458</t>
  </si>
  <si>
    <t>Emp_458</t>
  </si>
  <si>
    <t>E1459</t>
  </si>
  <si>
    <t>Emp_459</t>
  </si>
  <si>
    <t>E1460</t>
  </si>
  <si>
    <t>Emp_460</t>
  </si>
  <si>
    <t>E1461</t>
  </si>
  <si>
    <t>Emp_461</t>
  </si>
  <si>
    <t>E1462</t>
  </si>
  <si>
    <t>Emp_462</t>
  </si>
  <si>
    <t>E1463</t>
  </si>
  <si>
    <t>Emp_463</t>
  </si>
  <si>
    <t>E1464</t>
  </si>
  <si>
    <t>Emp_464</t>
  </si>
  <si>
    <t>E1465</t>
  </si>
  <si>
    <t>Emp_465</t>
  </si>
  <si>
    <t>E1466</t>
  </si>
  <si>
    <t>Emp_466</t>
  </si>
  <si>
    <t>E1467</t>
  </si>
  <si>
    <t>Emp_467</t>
  </si>
  <si>
    <t>E1468</t>
  </si>
  <si>
    <t>Emp_468</t>
  </si>
  <si>
    <t>E1469</t>
  </si>
  <si>
    <t>Emp_469</t>
  </si>
  <si>
    <t>E1470</t>
  </si>
  <si>
    <t>Emp_470</t>
  </si>
  <si>
    <t>E1471</t>
  </si>
  <si>
    <t>Emp_471</t>
  </si>
  <si>
    <t>E1472</t>
  </si>
  <si>
    <t>Emp_472</t>
  </si>
  <si>
    <t>E1473</t>
  </si>
  <si>
    <t>Emp_473</t>
  </si>
  <si>
    <t>E1474</t>
  </si>
  <si>
    <t>Emp_474</t>
  </si>
  <si>
    <t>E1475</t>
  </si>
  <si>
    <t>Emp_475</t>
  </si>
  <si>
    <t>E1476</t>
  </si>
  <si>
    <t>Emp_476</t>
  </si>
  <si>
    <t>E1477</t>
  </si>
  <si>
    <t>Emp_477</t>
  </si>
  <si>
    <t>E1478</t>
  </si>
  <si>
    <t>Emp_478</t>
  </si>
  <si>
    <t>E1479</t>
  </si>
  <si>
    <t>Emp_479</t>
  </si>
  <si>
    <t>E1480</t>
  </si>
  <si>
    <t>Emp_480</t>
  </si>
  <si>
    <t>E1481</t>
  </si>
  <si>
    <t>Emp_481</t>
  </si>
  <si>
    <t>E1482</t>
  </si>
  <si>
    <t>Emp_482</t>
  </si>
  <si>
    <t>E1483</t>
  </si>
  <si>
    <t>Emp_483</t>
  </si>
  <si>
    <t>E1484</t>
  </si>
  <si>
    <t>Emp_484</t>
  </si>
  <si>
    <t>E1485</t>
  </si>
  <si>
    <t>Emp_485</t>
  </si>
  <si>
    <t>E1486</t>
  </si>
  <si>
    <t>Emp_486</t>
  </si>
  <si>
    <t>E1487</t>
  </si>
  <si>
    <t>Emp_487</t>
  </si>
  <si>
    <t>E1488</t>
  </si>
  <si>
    <t>Emp_488</t>
  </si>
  <si>
    <t>E1489</t>
  </si>
  <si>
    <t>Emp_489</t>
  </si>
  <si>
    <t>E1490</t>
  </si>
  <si>
    <t>Emp_490</t>
  </si>
  <si>
    <t>E1491</t>
  </si>
  <si>
    <t>Emp_491</t>
  </si>
  <si>
    <t>E1492</t>
  </si>
  <si>
    <t>Emp_492</t>
  </si>
  <si>
    <t>E1493</t>
  </si>
  <si>
    <t>Emp_493</t>
  </si>
  <si>
    <t>E1494</t>
  </si>
  <si>
    <t>Emp_494</t>
  </si>
  <si>
    <t>E1495</t>
  </si>
  <si>
    <t>Emp_495</t>
  </si>
  <si>
    <t>E1496</t>
  </si>
  <si>
    <t>Emp_496</t>
  </si>
  <si>
    <t>E1497</t>
  </si>
  <si>
    <t>Emp_497</t>
  </si>
  <si>
    <t>E1498</t>
  </si>
  <si>
    <t>Emp_498</t>
  </si>
  <si>
    <t>E1499</t>
  </si>
  <si>
    <t>Emp_499</t>
  </si>
  <si>
    <r>
      <t xml:space="preserve">1. Find the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of employee with </t>
    </r>
    <r>
      <rPr>
        <b/>
        <sz val="11"/>
        <color theme="1"/>
        <rFont val="Aptos Narrow"/>
        <family val="2"/>
        <scheme val="minor"/>
      </rPr>
      <t>EmployeeID = E1100</t>
    </r>
    <r>
      <rPr>
        <sz val="11"/>
        <color theme="1"/>
        <rFont val="Aptos Narrow"/>
        <family val="2"/>
        <scheme val="minor"/>
      </rPr>
      <t>.</t>
    </r>
  </si>
  <si>
    <r>
      <t xml:space="preserve">2. Retrieve the </t>
    </r>
    <r>
      <rPr>
        <b/>
        <sz val="11"/>
        <color theme="1"/>
        <rFont val="Aptos Narrow"/>
        <family val="2"/>
        <scheme val="minor"/>
      </rPr>
      <t>Location</t>
    </r>
    <r>
      <rPr>
        <sz val="11"/>
        <color theme="1"/>
        <rFont val="Aptos Narrow"/>
        <family val="2"/>
        <scheme val="minor"/>
      </rPr>
      <t xml:space="preserve"> of employee named </t>
    </r>
    <r>
      <rPr>
        <b/>
        <sz val="11"/>
        <color theme="1"/>
        <rFont val="Aptos Narrow"/>
        <family val="2"/>
        <scheme val="minor"/>
      </rPr>
      <t>Emp_250</t>
    </r>
    <r>
      <rPr>
        <sz val="11"/>
        <color theme="1"/>
        <rFont val="Aptos Narrow"/>
        <family val="2"/>
        <scheme val="minor"/>
      </rPr>
      <t>.</t>
    </r>
  </si>
  <si>
    <r>
      <t xml:space="preserve">3. Look up the </t>
    </r>
    <r>
      <rPr>
        <b/>
        <sz val="11"/>
        <color theme="1"/>
        <rFont val="Aptos Narrow"/>
        <family val="2"/>
        <scheme val="minor"/>
      </rPr>
      <t>SalesAmount</t>
    </r>
    <r>
      <rPr>
        <sz val="11"/>
        <color theme="1"/>
        <rFont val="Aptos Narrow"/>
        <family val="2"/>
        <scheme val="minor"/>
      </rPr>
      <t xml:space="preserve"> for employee </t>
    </r>
    <r>
      <rPr>
        <b/>
        <sz val="11"/>
        <color theme="1"/>
        <rFont val="Aptos Narrow"/>
        <family val="2"/>
        <scheme val="minor"/>
      </rPr>
      <t>E1205</t>
    </r>
    <r>
      <rPr>
        <sz val="11"/>
        <color theme="1"/>
        <rFont val="Aptos Narrow"/>
        <family val="2"/>
        <scheme val="minor"/>
      </rPr>
      <t>.</t>
    </r>
  </si>
  <si>
    <r>
      <t xml:space="preserve">4. Find the </t>
    </r>
    <r>
      <rPr>
        <b/>
        <sz val="11"/>
        <color theme="1"/>
        <rFont val="Aptos Narrow"/>
        <family val="2"/>
        <scheme val="minor"/>
      </rPr>
      <t>Product</t>
    </r>
    <r>
      <rPr>
        <sz val="11"/>
        <color theme="1"/>
        <rFont val="Aptos Narrow"/>
        <family val="2"/>
        <scheme val="minor"/>
      </rPr>
      <t xml:space="preserve"> sold by employee </t>
    </r>
    <r>
      <rPr>
        <b/>
        <sz val="11"/>
        <color theme="1"/>
        <rFont val="Aptos Narrow"/>
        <family val="2"/>
        <scheme val="minor"/>
      </rPr>
      <t>Emp_400</t>
    </r>
    <r>
      <rPr>
        <sz val="11"/>
        <color theme="1"/>
        <rFont val="Aptos Narrow"/>
        <family val="2"/>
        <scheme val="minor"/>
      </rPr>
      <t>.</t>
    </r>
  </si>
  <si>
    <r>
      <t xml:space="preserve">5. Get the </t>
    </r>
    <r>
      <rPr>
        <b/>
        <sz val="11"/>
        <color theme="1"/>
        <rFont val="Aptos Narrow"/>
        <family val="2"/>
        <scheme val="minor"/>
      </rPr>
      <t>Age</t>
    </r>
    <r>
      <rPr>
        <sz val="11"/>
        <color theme="1"/>
        <rFont val="Aptos Narrow"/>
        <family val="2"/>
        <scheme val="minor"/>
      </rPr>
      <t xml:space="preserve"> of the employee who works in the </t>
    </r>
    <r>
      <rPr>
        <b/>
        <sz val="11"/>
        <color theme="1"/>
        <rFont val="Aptos Narrow"/>
        <family val="2"/>
        <scheme val="minor"/>
      </rPr>
      <t>Finance</t>
    </r>
    <r>
      <rPr>
        <sz val="11"/>
        <color theme="1"/>
        <rFont val="Aptos Narrow"/>
        <family val="2"/>
        <scheme val="minor"/>
      </rPr>
      <t xml:space="preserve"> department and is named </t>
    </r>
    <r>
      <rPr>
        <b/>
        <sz val="11"/>
        <color theme="1"/>
        <rFont val="Aptos Narrow"/>
        <family val="2"/>
        <scheme val="minor"/>
      </rPr>
      <t>Emp_50</t>
    </r>
    <r>
      <rPr>
        <sz val="11"/>
        <color theme="1"/>
        <rFont val="Aptos Narrow"/>
        <family val="2"/>
        <scheme val="minor"/>
      </rPr>
      <t>.</t>
    </r>
  </si>
  <si>
    <r>
      <t xml:space="preserve">6. Find the </t>
    </r>
    <r>
      <rPr>
        <b/>
        <sz val="11"/>
        <color theme="1"/>
        <rFont val="Aptos Narrow"/>
        <family val="2"/>
        <scheme val="minor"/>
      </rPr>
      <t>Employee Name</t>
    </r>
    <r>
      <rPr>
        <sz val="11"/>
        <color theme="1"/>
        <rFont val="Aptos Narrow"/>
        <family val="2"/>
        <scheme val="minor"/>
      </rPr>
      <t xml:space="preserve"> who has the </t>
    </r>
    <r>
      <rPr>
        <b/>
        <sz val="11"/>
        <color theme="1"/>
        <rFont val="Aptos Narrow"/>
        <family val="2"/>
        <scheme val="minor"/>
      </rPr>
      <t>highest SalesAmount</t>
    </r>
    <r>
      <rPr>
        <sz val="11"/>
        <color theme="1"/>
        <rFont val="Aptos Narrow"/>
        <family val="2"/>
        <scheme val="minor"/>
      </rPr>
      <t>.</t>
    </r>
  </si>
  <si>
    <r>
      <t xml:space="preserve">7. Retrieve the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of the employee whose </t>
    </r>
    <r>
      <rPr>
        <b/>
        <sz val="11"/>
        <color theme="1"/>
        <rFont val="Aptos Narrow"/>
        <family val="2"/>
        <scheme val="minor"/>
      </rPr>
      <t>SalesAmount = 23788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Product = Tablet</t>
    </r>
    <r>
      <rPr>
        <sz val="11"/>
        <color theme="1"/>
        <rFont val="Aptos Narrow"/>
        <family val="2"/>
        <scheme val="minor"/>
      </rPr>
      <t>.</t>
    </r>
  </si>
  <si>
    <r>
      <t xml:space="preserve">8. Get the </t>
    </r>
    <r>
      <rPr>
        <b/>
        <sz val="11"/>
        <color theme="1"/>
        <rFont val="Aptos Narrow"/>
        <family val="2"/>
        <scheme val="minor"/>
      </rPr>
      <t>Location</t>
    </r>
    <r>
      <rPr>
        <sz val="11"/>
        <color theme="1"/>
        <rFont val="Aptos Narrow"/>
        <family val="2"/>
        <scheme val="minor"/>
      </rPr>
      <t xml:space="preserve"> of the </t>
    </r>
    <r>
      <rPr>
        <b/>
        <sz val="11"/>
        <color theme="1"/>
        <rFont val="Aptos Narrow"/>
        <family val="2"/>
        <scheme val="minor"/>
      </rPr>
      <t>youngest employee</t>
    </r>
    <r>
      <rPr>
        <sz val="11"/>
        <color theme="1"/>
        <rFont val="Aptos Narrow"/>
        <family val="2"/>
        <scheme val="minor"/>
      </rPr>
      <t xml:space="preserve"> in the HR department.</t>
    </r>
  </si>
  <si>
    <r>
      <t xml:space="preserve">9. Find the </t>
    </r>
    <r>
      <rPr>
        <b/>
        <sz val="11"/>
        <color theme="1"/>
        <rFont val="Aptos Narrow"/>
        <family val="2"/>
        <scheme val="minor"/>
      </rPr>
      <t>EmployeeID</t>
    </r>
    <r>
      <rPr>
        <sz val="11"/>
        <color theme="1"/>
        <rFont val="Aptos Narrow"/>
        <family val="2"/>
        <scheme val="minor"/>
      </rPr>
      <t xml:space="preserve"> of the </t>
    </r>
    <r>
      <rPr>
        <b/>
        <sz val="11"/>
        <color theme="1"/>
        <rFont val="Aptos Narrow"/>
        <family val="2"/>
        <scheme val="minor"/>
      </rPr>
      <t>female employee in Marketing</t>
    </r>
    <r>
      <rPr>
        <sz val="11"/>
        <color theme="1"/>
        <rFont val="Aptos Narrow"/>
        <family val="2"/>
        <scheme val="minor"/>
      </rPr>
      <t xml:space="preserve"> at </t>
    </r>
    <r>
      <rPr>
        <b/>
        <sz val="11"/>
        <color theme="1"/>
        <rFont val="Aptos Narrow"/>
        <family val="2"/>
        <scheme val="minor"/>
      </rPr>
      <t>Pune</t>
    </r>
    <r>
      <rPr>
        <sz val="11"/>
        <color theme="1"/>
        <rFont val="Aptos Narrow"/>
        <family val="2"/>
        <scheme val="minor"/>
      </rPr>
      <t xml:space="preserve"> with the </t>
    </r>
    <r>
      <rPr>
        <b/>
        <sz val="11"/>
        <color theme="1"/>
        <rFont val="Aptos Narrow"/>
        <family val="2"/>
        <scheme val="minor"/>
      </rPr>
      <t>second-highest sales</t>
    </r>
    <r>
      <rPr>
        <sz val="11"/>
        <color theme="1"/>
        <rFont val="Aptos Narrow"/>
        <family val="2"/>
        <scheme val="minor"/>
      </rPr>
      <t xml:space="preserve"> in that group.</t>
    </r>
  </si>
  <si>
    <r>
      <t xml:space="preserve">10. Return the </t>
    </r>
    <r>
      <rPr>
        <b/>
        <sz val="11"/>
        <color theme="1"/>
        <rFont val="Aptos Narrow"/>
        <family val="2"/>
        <scheme val="minor"/>
      </rPr>
      <t>SalesAmount</t>
    </r>
    <r>
      <rPr>
        <sz val="11"/>
        <color theme="1"/>
        <rFont val="Aptos Narrow"/>
        <family val="2"/>
        <scheme val="minor"/>
      </rPr>
      <t xml:space="preserve"> of the </t>
    </r>
    <r>
      <rPr>
        <b/>
        <sz val="11"/>
        <color theme="1"/>
        <rFont val="Aptos Narrow"/>
        <family val="2"/>
        <scheme val="minor"/>
      </rPr>
      <t>oldest employee in Delhi</t>
    </r>
    <r>
      <rPr>
        <sz val="11"/>
        <color theme="1"/>
        <rFont val="Aptos Narrow"/>
        <family val="2"/>
        <scheme val="minor"/>
      </rPr>
      <t xml:space="preserve"> who sold a </t>
    </r>
    <r>
      <rPr>
        <b/>
        <sz val="11"/>
        <color theme="1"/>
        <rFont val="Aptos Narrow"/>
        <family val="2"/>
        <scheme val="minor"/>
      </rPr>
      <t>Printer</t>
    </r>
    <r>
      <rPr>
        <sz val="11"/>
        <color theme="1"/>
        <rFont val="Aptos Narrow"/>
        <family val="2"/>
        <scheme val="minor"/>
      </rPr>
      <t>.</t>
    </r>
  </si>
  <si>
    <t>Solve all questions using index+match</t>
  </si>
  <si>
    <t>Q5 (concat)</t>
  </si>
  <si>
    <r>
      <t xml:space="preserve">5. Get the </t>
    </r>
    <r>
      <rPr>
        <b/>
        <sz val="11"/>
        <color theme="1"/>
        <rFont val="Aptos Narrow"/>
        <family val="2"/>
        <scheme val="minor"/>
      </rPr>
      <t>Age</t>
    </r>
    <r>
      <rPr>
        <sz val="11"/>
        <color theme="1"/>
        <rFont val="Aptos Narrow"/>
        <family val="2"/>
        <scheme val="minor"/>
      </rPr>
      <t xml:space="preserve"> of the employee who works in the </t>
    </r>
    <r>
      <rPr>
        <b/>
        <sz val="11"/>
        <color theme="1"/>
        <rFont val="Aptos Narrow"/>
        <family val="2"/>
        <scheme val="minor"/>
      </rPr>
      <t>Finance</t>
    </r>
    <r>
      <rPr>
        <sz val="11"/>
        <color theme="1"/>
        <rFont val="Aptos Narrow"/>
        <family val="2"/>
        <scheme val="minor"/>
      </rPr>
      <t xml:space="preserve"> department and is named </t>
    </r>
    <r>
      <rPr>
        <b/>
        <sz val="11"/>
        <color theme="1"/>
        <rFont val="Aptos Narrow"/>
        <family val="2"/>
        <scheme val="minor"/>
      </rPr>
      <t>Emp_100</t>
    </r>
    <r>
      <rPr>
        <sz val="11"/>
        <color theme="1"/>
        <rFont val="Aptos Narrow"/>
        <family val="2"/>
        <scheme val="minor"/>
      </rPr>
      <t>.</t>
    </r>
  </si>
  <si>
    <t>Q9 (concat)</t>
  </si>
  <si>
    <t xml:space="preserve"> </t>
  </si>
  <si>
    <t>second highest sales amount</t>
  </si>
  <si>
    <t>Q10 (concat)</t>
  </si>
  <si>
    <r>
      <t xml:space="preserve">10. Return the </t>
    </r>
    <r>
      <rPr>
        <b/>
        <sz val="11"/>
        <color theme="1"/>
        <rFont val="Aptos Narrow"/>
        <family val="2"/>
        <scheme val="minor"/>
      </rPr>
      <t>SalesAmount</t>
    </r>
    <r>
      <rPr>
        <sz val="11"/>
        <color theme="1"/>
        <rFont val="Aptos Narrow"/>
        <family val="2"/>
        <scheme val="minor"/>
      </rPr>
      <t xml:space="preserve"> of the </t>
    </r>
    <r>
      <rPr>
        <b/>
        <sz val="11"/>
        <color theme="1"/>
        <rFont val="Aptos Narrow"/>
        <family val="2"/>
        <scheme val="minor"/>
      </rPr>
      <t>oldest employee in Pune</t>
    </r>
    <r>
      <rPr>
        <sz val="11"/>
        <color theme="1"/>
        <rFont val="Aptos Narrow"/>
        <family val="2"/>
        <scheme val="minor"/>
      </rPr>
      <t xml:space="preserve"> who sold a </t>
    </r>
    <r>
      <rPr>
        <b/>
        <sz val="11"/>
        <color theme="1"/>
        <rFont val="Aptos Narrow"/>
        <family val="2"/>
        <scheme val="minor"/>
      </rPr>
      <t>Printer</t>
    </r>
    <r>
      <rPr>
        <sz val="11"/>
        <color theme="1"/>
        <rFont val="Aptos Narrow"/>
        <family val="2"/>
        <scheme val="minor"/>
      </rPr>
      <t>.</t>
    </r>
  </si>
  <si>
    <t>Q7 (concat)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</si>
</sst>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 indent="1"/>
    </xf>
    <xf numFmtId="0" fontId="18" fillId="0" borderId="0" xfId="0" applyFont="1" applyAlignment="1">
      <alignment vertic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AE7B-A995-4D05-A30B-3B920D3E992A}">
  <dimension ref="A1:S501"/>
  <sheetViews>
    <sheetView topLeftCell="K47" zoomScale="140" workbookViewId="0">
      <selection activeCell="Q30" sqref="Q30"/>
    </sheetView>
  </sheetViews>
  <sheetFormatPr defaultRowHeight="14.4" x14ac:dyDescent="0.3"/>
  <cols>
    <col min="1" max="1" width="10.44140625" bestFit="1" customWidth="1"/>
    <col min="2" max="2" width="8.33203125" bestFit="1" customWidth="1"/>
    <col min="3" max="3" width="10.5546875" bestFit="1" customWidth="1"/>
    <col min="4" max="4" width="9.77734375" bestFit="1" customWidth="1"/>
    <col min="5" max="5" width="7" bestFit="1" customWidth="1"/>
    <col min="6" max="6" width="4" bestFit="1" customWidth="1"/>
    <col min="7" max="7" width="7.33203125" bestFit="1" customWidth="1"/>
    <col min="8" max="8" width="11.5546875" bestFit="1" customWidth="1"/>
    <col min="9" max="9" width="16.5546875" bestFit="1" customWidth="1"/>
    <col min="10" max="10" width="29.21875" bestFit="1" customWidth="1"/>
    <col min="11" max="11" width="18.44140625" customWidth="1"/>
    <col min="12" max="12" width="12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1036</v>
      </c>
      <c r="J1" s="1" t="s">
        <v>1038</v>
      </c>
      <c r="K1" t="s">
        <v>1041</v>
      </c>
      <c r="L1" t="s">
        <v>1043</v>
      </c>
      <c r="O1" s="1" t="s">
        <v>1025</v>
      </c>
    </row>
    <row r="2" spans="1:1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41</v>
      </c>
      <c r="G2" t="s">
        <v>13</v>
      </c>
      <c r="H2">
        <v>39695</v>
      </c>
      <c r="I2" t="str">
        <f>_xlfn.CONCAT(C2,B2)</f>
        <v>SalesEmp_0</v>
      </c>
      <c r="J2" t="str">
        <f>_xlfn.CONCAT(E2,C2,D2,H2)</f>
        <v>FemaleSalesDelhi39695</v>
      </c>
      <c r="K2" t="str">
        <f>_xlfn.CONCAT(F2,G2,D2)</f>
        <v>41MonitorDelhi</v>
      </c>
      <c r="L2" t="str">
        <f>_xlfn.CONCAT(H2,G2)</f>
        <v>39695Monitor</v>
      </c>
      <c r="R2" t="s">
        <v>225</v>
      </c>
    </row>
    <row r="3" spans="1:18" x14ac:dyDescent="0.3">
      <c r="A3" t="s">
        <v>14</v>
      </c>
      <c r="B3" t="s">
        <v>15</v>
      </c>
      <c r="C3" t="s">
        <v>10</v>
      </c>
      <c r="D3" t="s">
        <v>16</v>
      </c>
      <c r="E3" t="s">
        <v>12</v>
      </c>
      <c r="F3">
        <v>33</v>
      </c>
      <c r="G3" t="s">
        <v>17</v>
      </c>
      <c r="H3">
        <v>23005</v>
      </c>
      <c r="I3" t="str">
        <f t="shared" ref="I3:I66" si="0">_xlfn.CONCAT(C3,B3)</f>
        <v>SalesEmp_1</v>
      </c>
      <c r="J3" t="str">
        <f t="shared" ref="J3:J66" si="1">_xlfn.CONCAT(E3,C3,D3,H3)</f>
        <v>FemaleSalesMumbai23005</v>
      </c>
      <c r="K3" t="str">
        <f t="shared" ref="K3:K66" si="2">_xlfn.CONCAT(F3,G3,D3)</f>
        <v>33PrinterMumbai</v>
      </c>
      <c r="L3" t="str">
        <f t="shared" ref="L3:L66" si="3">_xlfn.CONCAT(H3,G3)</f>
        <v>23005Printer</v>
      </c>
      <c r="R3" t="str">
        <f>INDEX(A1:H501,MATCH(R2,A1:A501,0),MATCH("Department",A1:H1,0))</f>
        <v>Finance</v>
      </c>
    </row>
    <row r="4" spans="1:18" x14ac:dyDescent="0.3">
      <c r="A4" t="s">
        <v>18</v>
      </c>
      <c r="B4" t="s">
        <v>19</v>
      </c>
      <c r="C4" t="s">
        <v>20</v>
      </c>
      <c r="D4" t="s">
        <v>21</v>
      </c>
      <c r="E4" t="s">
        <v>12</v>
      </c>
      <c r="F4">
        <v>35</v>
      </c>
      <c r="G4" t="s">
        <v>13</v>
      </c>
      <c r="H4">
        <v>40110</v>
      </c>
      <c r="I4" t="str">
        <f t="shared" si="0"/>
        <v>HREmp_2</v>
      </c>
      <c r="J4" t="str">
        <f t="shared" si="1"/>
        <v>FemaleHRBangalore40110</v>
      </c>
      <c r="K4" t="str">
        <f t="shared" si="2"/>
        <v>35MonitorBangalore</v>
      </c>
      <c r="L4" t="str">
        <f t="shared" si="3"/>
        <v>40110Monitor</v>
      </c>
    </row>
    <row r="5" spans="1:18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43</v>
      </c>
      <c r="G5" t="s">
        <v>27</v>
      </c>
      <c r="H5">
        <v>23788</v>
      </c>
      <c r="I5" t="str">
        <f t="shared" si="0"/>
        <v>FinanceEmp_3</v>
      </c>
      <c r="J5" t="str">
        <f t="shared" si="1"/>
        <v>MaleFinancePune23788</v>
      </c>
      <c r="K5" t="str">
        <f t="shared" si="2"/>
        <v>43TabletPune</v>
      </c>
      <c r="L5" t="str">
        <f t="shared" si="3"/>
        <v>23788Tablet</v>
      </c>
      <c r="O5" s="1" t="s">
        <v>1026</v>
      </c>
    </row>
    <row r="6" spans="1:18" x14ac:dyDescent="0.3">
      <c r="A6" t="s">
        <v>28</v>
      </c>
      <c r="B6" t="s">
        <v>29</v>
      </c>
      <c r="C6" t="s">
        <v>24</v>
      </c>
      <c r="D6" t="s">
        <v>25</v>
      </c>
      <c r="E6" t="s">
        <v>12</v>
      </c>
      <c r="F6">
        <v>53</v>
      </c>
      <c r="G6" t="s">
        <v>17</v>
      </c>
      <c r="H6">
        <v>6123</v>
      </c>
      <c r="I6" t="str">
        <f t="shared" si="0"/>
        <v>FinanceEmp_4</v>
      </c>
      <c r="J6" t="str">
        <f t="shared" si="1"/>
        <v>FemaleFinancePune6123</v>
      </c>
      <c r="K6" t="str">
        <f t="shared" si="2"/>
        <v>53PrinterPune</v>
      </c>
      <c r="L6" t="str">
        <f t="shared" si="3"/>
        <v>6123Printer</v>
      </c>
      <c r="R6" t="s">
        <v>526</v>
      </c>
    </row>
    <row r="7" spans="1:18" x14ac:dyDescent="0.3">
      <c r="A7" t="s">
        <v>30</v>
      </c>
      <c r="B7" t="s">
        <v>31</v>
      </c>
      <c r="C7" t="s">
        <v>24</v>
      </c>
      <c r="D7" t="s">
        <v>21</v>
      </c>
      <c r="E7" t="s">
        <v>12</v>
      </c>
      <c r="F7">
        <v>34</v>
      </c>
      <c r="G7" t="s">
        <v>32</v>
      </c>
      <c r="H7">
        <v>37913</v>
      </c>
      <c r="I7" t="str">
        <f t="shared" si="0"/>
        <v>FinanceEmp_5</v>
      </c>
      <c r="J7" t="str">
        <f t="shared" si="1"/>
        <v>FemaleFinanceBangalore37913</v>
      </c>
      <c r="K7" t="str">
        <f t="shared" si="2"/>
        <v>34LaptopBangalore</v>
      </c>
      <c r="L7" t="str">
        <f t="shared" si="3"/>
        <v>37913Laptop</v>
      </c>
      <c r="Q7" t="str">
        <f>INDEX(A1:H501,MATCH(R6,B1:B501,0),MATCH("Location",A1:H1,0))</f>
        <v>Hyderabad</v>
      </c>
    </row>
    <row r="8" spans="1:18" x14ac:dyDescent="0.3">
      <c r="A8" t="s">
        <v>33</v>
      </c>
      <c r="B8" t="s">
        <v>34</v>
      </c>
      <c r="C8" t="s">
        <v>10</v>
      </c>
      <c r="D8" t="s">
        <v>16</v>
      </c>
      <c r="E8" t="s">
        <v>12</v>
      </c>
      <c r="F8">
        <v>36</v>
      </c>
      <c r="G8" t="s">
        <v>27</v>
      </c>
      <c r="H8">
        <v>49173</v>
      </c>
      <c r="I8" t="str">
        <f t="shared" si="0"/>
        <v>SalesEmp_6</v>
      </c>
      <c r="J8" t="str">
        <f t="shared" si="1"/>
        <v>FemaleSalesMumbai49173</v>
      </c>
      <c r="K8" t="str">
        <f t="shared" si="2"/>
        <v>36TabletMumbai</v>
      </c>
      <c r="L8" t="str">
        <f t="shared" si="3"/>
        <v>49173Tablet</v>
      </c>
    </row>
    <row r="9" spans="1:18" x14ac:dyDescent="0.3">
      <c r="A9" t="s">
        <v>35</v>
      </c>
      <c r="B9" t="s">
        <v>36</v>
      </c>
      <c r="C9" t="s">
        <v>37</v>
      </c>
      <c r="D9" t="s">
        <v>11</v>
      </c>
      <c r="E9" t="s">
        <v>12</v>
      </c>
      <c r="F9">
        <v>30</v>
      </c>
      <c r="G9" t="s">
        <v>27</v>
      </c>
      <c r="H9">
        <v>33218</v>
      </c>
      <c r="I9" t="str">
        <f t="shared" si="0"/>
        <v>MarketingEmp_7</v>
      </c>
      <c r="J9" t="str">
        <f t="shared" si="1"/>
        <v>FemaleMarketingDelhi33218</v>
      </c>
      <c r="K9" t="str">
        <f t="shared" si="2"/>
        <v>30TabletDelhi</v>
      </c>
      <c r="L9" t="str">
        <f t="shared" si="3"/>
        <v>33218Tablet</v>
      </c>
      <c r="O9" s="1" t="s">
        <v>1027</v>
      </c>
    </row>
    <row r="10" spans="1:18" x14ac:dyDescent="0.3">
      <c r="A10" t="s">
        <v>38</v>
      </c>
      <c r="B10" t="s">
        <v>39</v>
      </c>
      <c r="C10" t="s">
        <v>10</v>
      </c>
      <c r="D10" t="s">
        <v>21</v>
      </c>
      <c r="E10" t="s">
        <v>12</v>
      </c>
      <c r="F10">
        <v>31</v>
      </c>
      <c r="G10" t="s">
        <v>32</v>
      </c>
      <c r="H10">
        <v>16748</v>
      </c>
      <c r="I10" t="str">
        <f t="shared" si="0"/>
        <v>SalesEmp_8</v>
      </c>
      <c r="J10" t="str">
        <f t="shared" si="1"/>
        <v>FemaleSalesBangalore16748</v>
      </c>
      <c r="K10" t="str">
        <f t="shared" si="2"/>
        <v>31LaptopBangalore</v>
      </c>
      <c r="L10" t="str">
        <f t="shared" si="3"/>
        <v>16748Laptop</v>
      </c>
      <c r="R10" t="s">
        <v>435</v>
      </c>
    </row>
    <row r="11" spans="1:18" x14ac:dyDescent="0.3">
      <c r="A11" t="s">
        <v>40</v>
      </c>
      <c r="B11" t="s">
        <v>41</v>
      </c>
      <c r="C11" t="s">
        <v>37</v>
      </c>
      <c r="D11" t="s">
        <v>11</v>
      </c>
      <c r="E11" t="s">
        <v>12</v>
      </c>
      <c r="F11">
        <v>26</v>
      </c>
      <c r="G11" t="s">
        <v>17</v>
      </c>
      <c r="H11">
        <v>12013</v>
      </c>
      <c r="I11" t="str">
        <f t="shared" si="0"/>
        <v>MarketingEmp_9</v>
      </c>
      <c r="J11" t="str">
        <f t="shared" si="1"/>
        <v>FemaleMarketingDelhi12013</v>
      </c>
      <c r="K11" t="str">
        <f t="shared" si="2"/>
        <v>26PrinterDelhi</v>
      </c>
      <c r="L11" t="str">
        <f t="shared" si="3"/>
        <v>12013Printer</v>
      </c>
      <c r="Q11">
        <f>INDEX(A1:H501,MATCH(R10,A1:A501,0),MATCH("SalesAmount",A1:H1,0))</f>
        <v>13921</v>
      </c>
    </row>
    <row r="12" spans="1:18" x14ac:dyDescent="0.3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>
        <v>40</v>
      </c>
      <c r="G12" t="s">
        <v>13</v>
      </c>
      <c r="H12">
        <v>11312</v>
      </c>
      <c r="I12" t="str">
        <f t="shared" si="0"/>
        <v>ITEmp_10</v>
      </c>
      <c r="J12" t="str">
        <f t="shared" si="1"/>
        <v>FemaleITDelhi11312</v>
      </c>
      <c r="K12" t="str">
        <f t="shared" si="2"/>
        <v>40MonitorDelhi</v>
      </c>
      <c r="L12" t="str">
        <f t="shared" si="3"/>
        <v>11312Monitor</v>
      </c>
    </row>
    <row r="13" spans="1:18" x14ac:dyDescent="0.3">
      <c r="A13" t="s">
        <v>45</v>
      </c>
      <c r="B13" t="s">
        <v>46</v>
      </c>
      <c r="C13" t="s">
        <v>10</v>
      </c>
      <c r="D13" t="s">
        <v>11</v>
      </c>
      <c r="E13" t="s">
        <v>26</v>
      </c>
      <c r="F13">
        <v>28</v>
      </c>
      <c r="G13" t="s">
        <v>27</v>
      </c>
      <c r="H13">
        <v>39366</v>
      </c>
      <c r="I13" t="str">
        <f t="shared" si="0"/>
        <v>SalesEmp_11</v>
      </c>
      <c r="J13" t="str">
        <f t="shared" si="1"/>
        <v>MaleSalesDelhi39366</v>
      </c>
      <c r="K13" t="str">
        <f t="shared" si="2"/>
        <v>28TabletDelhi</v>
      </c>
      <c r="L13" t="str">
        <f t="shared" si="3"/>
        <v>39366Tablet</v>
      </c>
      <c r="O13" s="1" t="s">
        <v>1028</v>
      </c>
    </row>
    <row r="14" spans="1:18" x14ac:dyDescent="0.3">
      <c r="A14" t="s">
        <v>47</v>
      </c>
      <c r="B14" t="s">
        <v>48</v>
      </c>
      <c r="C14" t="s">
        <v>10</v>
      </c>
      <c r="D14" t="s">
        <v>16</v>
      </c>
      <c r="E14" t="s">
        <v>26</v>
      </c>
      <c r="F14">
        <v>54</v>
      </c>
      <c r="G14" t="s">
        <v>32</v>
      </c>
      <c r="H14">
        <v>14758</v>
      </c>
      <c r="I14" t="str">
        <f t="shared" si="0"/>
        <v>SalesEmp_12</v>
      </c>
      <c r="J14" t="str">
        <f t="shared" si="1"/>
        <v>MaleSalesMumbai14758</v>
      </c>
      <c r="K14" t="str">
        <f t="shared" si="2"/>
        <v>54LaptopMumbai</v>
      </c>
      <c r="L14" t="str">
        <f t="shared" si="3"/>
        <v>14758Laptop</v>
      </c>
      <c r="R14" t="s">
        <v>826</v>
      </c>
    </row>
    <row r="15" spans="1:18" x14ac:dyDescent="0.3">
      <c r="A15" t="s">
        <v>49</v>
      </c>
      <c r="B15" t="s">
        <v>50</v>
      </c>
      <c r="C15" t="s">
        <v>10</v>
      </c>
      <c r="D15" t="s">
        <v>16</v>
      </c>
      <c r="E15" t="s">
        <v>12</v>
      </c>
      <c r="F15">
        <v>56</v>
      </c>
      <c r="G15" t="s">
        <v>13</v>
      </c>
      <c r="H15">
        <v>20792</v>
      </c>
      <c r="I15" t="str">
        <f t="shared" si="0"/>
        <v>SalesEmp_13</v>
      </c>
      <c r="J15" t="str">
        <f t="shared" si="1"/>
        <v>FemaleSalesMumbai20792</v>
      </c>
      <c r="K15" t="str">
        <f t="shared" si="2"/>
        <v>56MonitorMumbai</v>
      </c>
      <c r="L15" t="str">
        <f t="shared" si="3"/>
        <v>20792Monitor</v>
      </c>
      <c r="Q15" t="str">
        <f>INDEX(A1:H501,MATCH(R14,B1:B501,0),MATCH("Product",A1:H1,0))</f>
        <v>Laptop</v>
      </c>
    </row>
    <row r="16" spans="1:18" x14ac:dyDescent="0.3">
      <c r="A16" t="s">
        <v>51</v>
      </c>
      <c r="B16" t="s">
        <v>52</v>
      </c>
      <c r="C16" t="s">
        <v>24</v>
      </c>
      <c r="D16" t="s">
        <v>11</v>
      </c>
      <c r="E16" t="s">
        <v>26</v>
      </c>
      <c r="F16">
        <v>55</v>
      </c>
      <c r="G16" t="s">
        <v>17</v>
      </c>
      <c r="H16">
        <v>17578</v>
      </c>
      <c r="I16" t="str">
        <f t="shared" si="0"/>
        <v>FinanceEmp_14</v>
      </c>
      <c r="J16" t="str">
        <f t="shared" si="1"/>
        <v>MaleFinanceDelhi17578</v>
      </c>
      <c r="K16" t="str">
        <f t="shared" si="2"/>
        <v>55PrinterDelhi</v>
      </c>
      <c r="L16" t="str">
        <f t="shared" si="3"/>
        <v>17578Printer</v>
      </c>
    </row>
    <row r="17" spans="1:19" x14ac:dyDescent="0.3">
      <c r="A17" t="s">
        <v>53</v>
      </c>
      <c r="B17" t="s">
        <v>54</v>
      </c>
      <c r="C17" t="s">
        <v>24</v>
      </c>
      <c r="D17" t="s">
        <v>55</v>
      </c>
      <c r="E17" t="s">
        <v>12</v>
      </c>
      <c r="F17">
        <v>24</v>
      </c>
      <c r="G17" t="s">
        <v>27</v>
      </c>
      <c r="H17">
        <v>45617</v>
      </c>
      <c r="I17" t="str">
        <f t="shared" si="0"/>
        <v>FinanceEmp_15</v>
      </c>
      <c r="J17" t="str">
        <f t="shared" si="1"/>
        <v>FemaleFinanceHyderabad45617</v>
      </c>
      <c r="K17" t="str">
        <f t="shared" si="2"/>
        <v>24TabletHyderabad</v>
      </c>
      <c r="L17" t="str">
        <f t="shared" si="3"/>
        <v>45617Tablet</v>
      </c>
      <c r="O17" s="1" t="s">
        <v>1037</v>
      </c>
    </row>
    <row r="18" spans="1:19" x14ac:dyDescent="0.3">
      <c r="A18" t="s">
        <v>56</v>
      </c>
      <c r="B18" t="s">
        <v>57</v>
      </c>
      <c r="C18" t="s">
        <v>37</v>
      </c>
      <c r="D18" t="s">
        <v>25</v>
      </c>
      <c r="E18" t="s">
        <v>26</v>
      </c>
      <c r="F18">
        <v>43</v>
      </c>
      <c r="G18" t="s">
        <v>13</v>
      </c>
      <c r="H18">
        <v>39501</v>
      </c>
      <c r="I18" t="str">
        <f t="shared" si="0"/>
        <v>MarketingEmp_16</v>
      </c>
      <c r="J18" t="str">
        <f t="shared" si="1"/>
        <v>MaleMarketingPune39501</v>
      </c>
      <c r="K18" t="str">
        <f t="shared" si="2"/>
        <v>43MonitorPune</v>
      </c>
      <c r="L18" t="str">
        <f t="shared" si="3"/>
        <v>39501Monitor</v>
      </c>
    </row>
    <row r="19" spans="1:19" x14ac:dyDescent="0.3">
      <c r="A19" t="s">
        <v>58</v>
      </c>
      <c r="B19" t="s">
        <v>59</v>
      </c>
      <c r="C19" t="s">
        <v>37</v>
      </c>
      <c r="D19" t="s">
        <v>16</v>
      </c>
      <c r="E19" t="s">
        <v>12</v>
      </c>
      <c r="F19">
        <v>30</v>
      </c>
      <c r="G19" t="s">
        <v>13</v>
      </c>
      <c r="H19">
        <v>21542</v>
      </c>
      <c r="I19" t="str">
        <f t="shared" si="0"/>
        <v>MarketingEmp_17</v>
      </c>
      <c r="J19" t="str">
        <f t="shared" si="1"/>
        <v>FemaleMarketingMumbai21542</v>
      </c>
      <c r="K19" t="str">
        <f t="shared" si="2"/>
        <v>30MonitorMumbai</v>
      </c>
      <c r="L19" t="str">
        <f t="shared" si="3"/>
        <v>21542Monitor</v>
      </c>
      <c r="Q19">
        <f>INDEX(A1:I501,MATCH("FinanceEmp_100",I1:I501,0),MATCH("Age",A1:I1,0))</f>
        <v>57</v>
      </c>
    </row>
    <row r="20" spans="1:19" x14ac:dyDescent="0.3">
      <c r="A20" t="s">
        <v>60</v>
      </c>
      <c r="B20" t="s">
        <v>61</v>
      </c>
      <c r="C20" t="s">
        <v>10</v>
      </c>
      <c r="D20" t="s">
        <v>55</v>
      </c>
      <c r="E20" t="s">
        <v>12</v>
      </c>
      <c r="F20">
        <v>60</v>
      </c>
      <c r="G20" t="s">
        <v>62</v>
      </c>
      <c r="H20">
        <v>28228</v>
      </c>
      <c r="I20" t="str">
        <f t="shared" si="0"/>
        <v>SalesEmp_18</v>
      </c>
      <c r="J20" t="str">
        <f t="shared" si="1"/>
        <v>FemaleSalesHyderabad28228</v>
      </c>
      <c r="K20" t="str">
        <f t="shared" si="2"/>
        <v>60MobileHyderabad</v>
      </c>
      <c r="L20" t="str">
        <f t="shared" si="3"/>
        <v>28228Mobile</v>
      </c>
      <c r="Q20">
        <f>INDEX(A1:I501,MATCH("FinanceEmp_100",I1:I501,0),6)</f>
        <v>57</v>
      </c>
    </row>
    <row r="21" spans="1:19" x14ac:dyDescent="0.3">
      <c r="A21" t="s">
        <v>63</v>
      </c>
      <c r="B21" t="s">
        <v>64</v>
      </c>
      <c r="C21" t="s">
        <v>37</v>
      </c>
      <c r="D21" t="s">
        <v>55</v>
      </c>
      <c r="E21" t="s">
        <v>12</v>
      </c>
      <c r="F21">
        <v>46</v>
      </c>
      <c r="G21" t="s">
        <v>32</v>
      </c>
      <c r="H21">
        <v>22519</v>
      </c>
      <c r="I21" t="str">
        <f t="shared" si="0"/>
        <v>MarketingEmp_19</v>
      </c>
      <c r="J21" t="str">
        <f t="shared" si="1"/>
        <v>FemaleMarketingHyderabad22519</v>
      </c>
      <c r="K21" t="str">
        <f t="shared" si="2"/>
        <v>46LaptopHyderabad</v>
      </c>
      <c r="L21" t="str">
        <f t="shared" si="3"/>
        <v>22519Laptop</v>
      </c>
    </row>
    <row r="22" spans="1:19" x14ac:dyDescent="0.3">
      <c r="A22" t="s">
        <v>65</v>
      </c>
      <c r="B22" t="s">
        <v>66</v>
      </c>
      <c r="C22" t="s">
        <v>24</v>
      </c>
      <c r="D22" t="s">
        <v>25</v>
      </c>
      <c r="E22" t="s">
        <v>12</v>
      </c>
      <c r="F22">
        <v>31</v>
      </c>
      <c r="G22" t="s">
        <v>13</v>
      </c>
      <c r="H22">
        <v>31011</v>
      </c>
      <c r="I22" t="str">
        <f t="shared" si="0"/>
        <v>FinanceEmp_20</v>
      </c>
      <c r="J22" t="str">
        <f t="shared" si="1"/>
        <v>FemaleFinancePune31011</v>
      </c>
      <c r="K22" t="str">
        <f t="shared" si="2"/>
        <v>31MonitorPune</v>
      </c>
      <c r="L22" t="str">
        <f t="shared" si="3"/>
        <v>31011Monitor</v>
      </c>
      <c r="O22" s="1" t="s">
        <v>1030</v>
      </c>
    </row>
    <row r="23" spans="1:19" x14ac:dyDescent="0.3">
      <c r="A23" t="s">
        <v>67</v>
      </c>
      <c r="B23" t="s">
        <v>68</v>
      </c>
      <c r="C23" t="s">
        <v>37</v>
      </c>
      <c r="D23" t="s">
        <v>11</v>
      </c>
      <c r="E23" t="s">
        <v>26</v>
      </c>
      <c r="F23">
        <v>32</v>
      </c>
      <c r="G23" t="s">
        <v>17</v>
      </c>
      <c r="H23">
        <v>10178</v>
      </c>
      <c r="I23" t="str">
        <f t="shared" si="0"/>
        <v>MarketingEmp_21</v>
      </c>
      <c r="J23" t="str">
        <f t="shared" si="1"/>
        <v>MaleMarketingDelhi10178</v>
      </c>
      <c r="K23" t="str">
        <f t="shared" si="2"/>
        <v>32PrinterDelhi</v>
      </c>
      <c r="L23" t="str">
        <f t="shared" si="3"/>
        <v>10178Printer</v>
      </c>
      <c r="R23">
        <f>LARGE(H2:H501,1)</f>
        <v>49912</v>
      </c>
    </row>
    <row r="24" spans="1:19" x14ac:dyDescent="0.3">
      <c r="A24" t="s">
        <v>69</v>
      </c>
      <c r="B24" t="s">
        <v>70</v>
      </c>
      <c r="C24" t="s">
        <v>44</v>
      </c>
      <c r="D24" t="s">
        <v>55</v>
      </c>
      <c r="E24" t="s">
        <v>12</v>
      </c>
      <c r="F24">
        <v>33</v>
      </c>
      <c r="G24" t="s">
        <v>62</v>
      </c>
      <c r="H24">
        <v>29448</v>
      </c>
      <c r="I24" t="str">
        <f t="shared" si="0"/>
        <v>ITEmp_22</v>
      </c>
      <c r="J24" t="str">
        <f t="shared" si="1"/>
        <v>FemaleITHyderabad29448</v>
      </c>
      <c r="K24" t="str">
        <f t="shared" si="2"/>
        <v>33MobileHyderabad</v>
      </c>
      <c r="L24" t="str">
        <f t="shared" si="3"/>
        <v>29448Mobile</v>
      </c>
      <c r="Q24" t="str">
        <f>INDEX(A1:H501,MATCH(R23,H1:H501,0),MATCH("Name",A1:H1,0))</f>
        <v>Emp_165</v>
      </c>
      <c r="S24" t="str">
        <f>INDEX(A1:H501,MATCH(MAX(H1:H501),H1:H501,0),2)</f>
        <v>Emp_165</v>
      </c>
    </row>
    <row r="25" spans="1:19" x14ac:dyDescent="0.3">
      <c r="A25" t="s">
        <v>71</v>
      </c>
      <c r="B25" t="s">
        <v>72</v>
      </c>
      <c r="C25" t="s">
        <v>24</v>
      </c>
      <c r="D25" t="s">
        <v>55</v>
      </c>
      <c r="E25" t="s">
        <v>26</v>
      </c>
      <c r="F25">
        <v>32</v>
      </c>
      <c r="G25" t="s">
        <v>13</v>
      </c>
      <c r="H25">
        <v>31609</v>
      </c>
      <c r="I25" t="str">
        <f t="shared" si="0"/>
        <v>FinanceEmp_23</v>
      </c>
      <c r="J25" t="str">
        <f t="shared" si="1"/>
        <v>MaleFinanceHyderabad31609</v>
      </c>
      <c r="K25" t="str">
        <f t="shared" si="2"/>
        <v>32MonitorHyderabad</v>
      </c>
      <c r="L25" t="str">
        <f t="shared" si="3"/>
        <v>31609Monitor</v>
      </c>
    </row>
    <row r="26" spans="1:19" x14ac:dyDescent="0.3">
      <c r="A26" t="s">
        <v>73</v>
      </c>
      <c r="B26" t="s">
        <v>74</v>
      </c>
      <c r="C26" t="s">
        <v>44</v>
      </c>
      <c r="D26" t="s">
        <v>55</v>
      </c>
      <c r="E26" t="s">
        <v>26</v>
      </c>
      <c r="F26">
        <v>50</v>
      </c>
      <c r="G26" t="s">
        <v>13</v>
      </c>
      <c r="H26">
        <v>35080</v>
      </c>
      <c r="I26" t="str">
        <f t="shared" si="0"/>
        <v>ITEmp_24</v>
      </c>
      <c r="J26" t="str">
        <f t="shared" si="1"/>
        <v>MaleITHyderabad35080</v>
      </c>
      <c r="K26" t="str">
        <f t="shared" si="2"/>
        <v>50MonitorHyderabad</v>
      </c>
      <c r="L26" t="str">
        <f t="shared" si="3"/>
        <v>35080Monitor</v>
      </c>
    </row>
    <row r="27" spans="1:19" x14ac:dyDescent="0.3">
      <c r="A27" t="s">
        <v>75</v>
      </c>
      <c r="B27" t="s">
        <v>76</v>
      </c>
      <c r="C27" t="s">
        <v>37</v>
      </c>
      <c r="D27" t="s">
        <v>11</v>
      </c>
      <c r="E27" t="s">
        <v>12</v>
      </c>
      <c r="F27">
        <v>24</v>
      </c>
      <c r="G27" t="s">
        <v>17</v>
      </c>
      <c r="H27">
        <v>42027</v>
      </c>
      <c r="I27" t="str">
        <f t="shared" si="0"/>
        <v>MarketingEmp_25</v>
      </c>
      <c r="J27" t="str">
        <f t="shared" si="1"/>
        <v>FemaleMarketingDelhi42027</v>
      </c>
      <c r="K27" t="str">
        <f t="shared" si="2"/>
        <v>24PrinterDelhi</v>
      </c>
      <c r="L27" t="str">
        <f t="shared" si="3"/>
        <v>42027Printer</v>
      </c>
      <c r="O27" s="1" t="s">
        <v>1031</v>
      </c>
    </row>
    <row r="28" spans="1:19" x14ac:dyDescent="0.3">
      <c r="A28" t="s">
        <v>77</v>
      </c>
      <c r="B28" t="s">
        <v>78</v>
      </c>
      <c r="C28" t="s">
        <v>20</v>
      </c>
      <c r="D28" t="s">
        <v>11</v>
      </c>
      <c r="E28" t="s">
        <v>26</v>
      </c>
      <c r="F28">
        <v>48</v>
      </c>
      <c r="G28" t="s">
        <v>62</v>
      </c>
      <c r="H28">
        <v>20938</v>
      </c>
      <c r="I28" t="str">
        <f t="shared" si="0"/>
        <v>HREmp_26</v>
      </c>
      <c r="J28" t="str">
        <f t="shared" si="1"/>
        <v>MaleHRDelhi20938</v>
      </c>
      <c r="K28" t="str">
        <f t="shared" si="2"/>
        <v>48MobileDelhi</v>
      </c>
      <c r="L28" t="str">
        <f t="shared" si="3"/>
        <v>20938Mobile</v>
      </c>
      <c r="O28" s="1"/>
    </row>
    <row r="29" spans="1:19" x14ac:dyDescent="0.3">
      <c r="A29" t="s">
        <v>79</v>
      </c>
      <c r="B29" t="s">
        <v>80</v>
      </c>
      <c r="C29" t="s">
        <v>10</v>
      </c>
      <c r="D29" t="s">
        <v>16</v>
      </c>
      <c r="E29" t="s">
        <v>12</v>
      </c>
      <c r="F29">
        <v>45</v>
      </c>
      <c r="G29" t="s">
        <v>62</v>
      </c>
      <c r="H29">
        <v>19801</v>
      </c>
      <c r="I29" t="str">
        <f t="shared" si="0"/>
        <v>SalesEmp_27</v>
      </c>
      <c r="J29" t="str">
        <f t="shared" si="1"/>
        <v>FemaleSalesMumbai19801</v>
      </c>
      <c r="K29" t="str">
        <f t="shared" si="2"/>
        <v>45MobileMumbai</v>
      </c>
      <c r="L29" t="str">
        <f t="shared" si="3"/>
        <v>19801Mobile</v>
      </c>
      <c r="Q29" t="str">
        <f>INDEX(A1:H501,MATCH("23788Tablet",L1:L501,0),MATCH("Department",A1:H1,0))</f>
        <v>Finance</v>
      </c>
    </row>
    <row r="30" spans="1:19" x14ac:dyDescent="0.3">
      <c r="A30" t="s">
        <v>81</v>
      </c>
      <c r="B30" t="s">
        <v>82</v>
      </c>
      <c r="C30" t="s">
        <v>24</v>
      </c>
      <c r="D30" t="s">
        <v>16</v>
      </c>
      <c r="E30" t="s">
        <v>26</v>
      </c>
      <c r="F30">
        <v>37</v>
      </c>
      <c r="G30" t="s">
        <v>32</v>
      </c>
      <c r="H30">
        <v>24659</v>
      </c>
      <c r="I30" t="str">
        <f t="shared" si="0"/>
        <v>FinanceEmp_28</v>
      </c>
      <c r="J30" t="str">
        <f t="shared" si="1"/>
        <v>MaleFinanceMumbai24659</v>
      </c>
      <c r="K30" t="str">
        <f t="shared" si="2"/>
        <v>37LaptopMumbai</v>
      </c>
      <c r="L30" t="str">
        <f t="shared" si="3"/>
        <v>24659Laptop</v>
      </c>
    </row>
    <row r="31" spans="1:19" x14ac:dyDescent="0.3">
      <c r="A31" t="s">
        <v>83</v>
      </c>
      <c r="B31" t="s">
        <v>84</v>
      </c>
      <c r="C31" t="s">
        <v>44</v>
      </c>
      <c r="D31" t="s">
        <v>55</v>
      </c>
      <c r="E31" t="s">
        <v>12</v>
      </c>
      <c r="F31">
        <v>50</v>
      </c>
      <c r="G31" t="s">
        <v>13</v>
      </c>
      <c r="H31">
        <v>49829</v>
      </c>
      <c r="I31" t="str">
        <f t="shared" si="0"/>
        <v>ITEmp_29</v>
      </c>
      <c r="J31" t="str">
        <f t="shared" si="1"/>
        <v>FemaleITHyderabad49829</v>
      </c>
      <c r="K31" t="str">
        <f t="shared" si="2"/>
        <v>50MonitorHyderabad</v>
      </c>
      <c r="L31" t="str">
        <f t="shared" si="3"/>
        <v>49829Monitor</v>
      </c>
    </row>
    <row r="32" spans="1:19" x14ac:dyDescent="0.3">
      <c r="A32" t="s">
        <v>85</v>
      </c>
      <c r="B32" t="s">
        <v>86</v>
      </c>
      <c r="C32" t="s">
        <v>20</v>
      </c>
      <c r="D32" t="s">
        <v>11</v>
      </c>
      <c r="E32" t="s">
        <v>26</v>
      </c>
      <c r="F32">
        <v>40</v>
      </c>
      <c r="G32" t="s">
        <v>32</v>
      </c>
      <c r="H32">
        <v>10283</v>
      </c>
      <c r="I32" t="str">
        <f t="shared" si="0"/>
        <v>HREmp_30</v>
      </c>
      <c r="J32" t="str">
        <f t="shared" si="1"/>
        <v>MaleHRDelhi10283</v>
      </c>
      <c r="K32" t="str">
        <f t="shared" si="2"/>
        <v>40LaptopDelhi</v>
      </c>
      <c r="L32" t="str">
        <f t="shared" si="3"/>
        <v>10283Laptop</v>
      </c>
      <c r="O32" s="1" t="s">
        <v>1032</v>
      </c>
    </row>
    <row r="33" spans="1:18" x14ac:dyDescent="0.3">
      <c r="A33" t="s">
        <v>87</v>
      </c>
      <c r="B33" t="s">
        <v>88</v>
      </c>
      <c r="C33" t="s">
        <v>20</v>
      </c>
      <c r="D33" t="s">
        <v>11</v>
      </c>
      <c r="E33" t="s">
        <v>26</v>
      </c>
      <c r="F33">
        <v>50</v>
      </c>
      <c r="G33" t="s">
        <v>62</v>
      </c>
      <c r="H33">
        <v>47843</v>
      </c>
      <c r="I33" t="str">
        <f t="shared" si="0"/>
        <v>HREmp_31</v>
      </c>
      <c r="J33" t="str">
        <f t="shared" si="1"/>
        <v>MaleHRDelhi47843</v>
      </c>
      <c r="K33" t="str">
        <f t="shared" si="2"/>
        <v>50MobileDelhi</v>
      </c>
      <c r="L33" t="str">
        <f t="shared" si="3"/>
        <v>47843Mobile</v>
      </c>
      <c r="R33">
        <f>SMALL(A1:H501,1)</f>
        <v>22</v>
      </c>
    </row>
    <row r="34" spans="1:18" x14ac:dyDescent="0.3">
      <c r="A34" t="s">
        <v>89</v>
      </c>
      <c r="B34" t="s">
        <v>90</v>
      </c>
      <c r="C34" t="s">
        <v>24</v>
      </c>
      <c r="D34" t="s">
        <v>25</v>
      </c>
      <c r="E34" t="s">
        <v>12</v>
      </c>
      <c r="F34">
        <v>36</v>
      </c>
      <c r="G34" t="s">
        <v>32</v>
      </c>
      <c r="H34">
        <v>47591</v>
      </c>
      <c r="I34" t="str">
        <f t="shared" si="0"/>
        <v>FinanceEmp_32</v>
      </c>
      <c r="J34" t="str">
        <f t="shared" si="1"/>
        <v>FemaleFinancePune47591</v>
      </c>
      <c r="K34" t="str">
        <f t="shared" si="2"/>
        <v>36LaptopPune</v>
      </c>
      <c r="L34" t="str">
        <f t="shared" si="3"/>
        <v>47591Laptop</v>
      </c>
      <c r="Q34" t="str">
        <f>INDEX(A1:H501,MATCH(R33,F1:F501,0),MATCH("Location",A1:H1,0))</f>
        <v>Bangalore</v>
      </c>
    </row>
    <row r="35" spans="1:18" x14ac:dyDescent="0.3">
      <c r="A35" t="s">
        <v>91</v>
      </c>
      <c r="B35" t="s">
        <v>92</v>
      </c>
      <c r="C35" t="s">
        <v>24</v>
      </c>
      <c r="D35" t="s">
        <v>55</v>
      </c>
      <c r="E35" t="s">
        <v>26</v>
      </c>
      <c r="F35">
        <v>56</v>
      </c>
      <c r="G35" t="s">
        <v>17</v>
      </c>
      <c r="H35">
        <v>7076</v>
      </c>
      <c r="I35" t="str">
        <f t="shared" si="0"/>
        <v>FinanceEmp_33</v>
      </c>
      <c r="J35" t="str">
        <f t="shared" si="1"/>
        <v>MaleFinanceHyderabad7076</v>
      </c>
      <c r="K35" t="str">
        <f t="shared" si="2"/>
        <v>56PrinterHyderabad</v>
      </c>
      <c r="L35" t="str">
        <f t="shared" si="3"/>
        <v>7076Printer</v>
      </c>
      <c r="Q35" t="str">
        <f>INDEX(A1:H501,MATCH(MIN(F1:F501),F1:F501,0),4)</f>
        <v>Bangalore</v>
      </c>
    </row>
    <row r="36" spans="1:18" x14ac:dyDescent="0.3">
      <c r="A36" t="s">
        <v>93</v>
      </c>
      <c r="B36" t="s">
        <v>94</v>
      </c>
      <c r="C36" t="s">
        <v>20</v>
      </c>
      <c r="D36" t="s">
        <v>16</v>
      </c>
      <c r="E36" t="s">
        <v>26</v>
      </c>
      <c r="F36">
        <v>37</v>
      </c>
      <c r="G36" t="s">
        <v>27</v>
      </c>
      <c r="H36">
        <v>11127</v>
      </c>
      <c r="I36" t="str">
        <f t="shared" si="0"/>
        <v>HREmp_34</v>
      </c>
      <c r="J36" t="str">
        <f t="shared" si="1"/>
        <v>MaleHRMumbai11127</v>
      </c>
      <c r="K36" t="str">
        <f t="shared" si="2"/>
        <v>37TabletMumbai</v>
      </c>
      <c r="L36" t="str">
        <f t="shared" si="3"/>
        <v>11127Tablet</v>
      </c>
    </row>
    <row r="37" spans="1:18" x14ac:dyDescent="0.3">
      <c r="A37" t="s">
        <v>95</v>
      </c>
      <c r="B37" t="s">
        <v>96</v>
      </c>
      <c r="C37" t="s">
        <v>10</v>
      </c>
      <c r="D37" t="s">
        <v>25</v>
      </c>
      <c r="E37" t="s">
        <v>12</v>
      </c>
      <c r="F37">
        <v>41</v>
      </c>
      <c r="G37" t="s">
        <v>17</v>
      </c>
      <c r="H37">
        <v>31560</v>
      </c>
      <c r="I37" t="str">
        <f t="shared" si="0"/>
        <v>SalesEmp_35</v>
      </c>
      <c r="J37" t="str">
        <f t="shared" si="1"/>
        <v>FemaleSalesPune31560</v>
      </c>
      <c r="K37" t="str">
        <f t="shared" si="2"/>
        <v>41PrinterPune</v>
      </c>
      <c r="L37" t="str">
        <f t="shared" si="3"/>
        <v>31560Printer</v>
      </c>
      <c r="O37" s="1" t="s">
        <v>1033</v>
      </c>
    </row>
    <row r="38" spans="1:18" x14ac:dyDescent="0.3">
      <c r="A38" t="s">
        <v>97</v>
      </c>
      <c r="B38" t="s">
        <v>98</v>
      </c>
      <c r="C38" t="s">
        <v>10</v>
      </c>
      <c r="D38" t="s">
        <v>11</v>
      </c>
      <c r="E38" t="s">
        <v>12</v>
      </c>
      <c r="F38">
        <v>52</v>
      </c>
      <c r="G38" t="s">
        <v>62</v>
      </c>
      <c r="H38">
        <v>29855</v>
      </c>
      <c r="I38" t="str">
        <f t="shared" si="0"/>
        <v>SalesEmp_36</v>
      </c>
      <c r="J38" t="str">
        <f t="shared" si="1"/>
        <v>FemaleSalesDelhi29855</v>
      </c>
      <c r="K38" t="str">
        <f t="shared" si="2"/>
        <v>52MobileDelhi</v>
      </c>
      <c r="L38" t="str">
        <f t="shared" si="3"/>
        <v>29855Mobile</v>
      </c>
      <c r="N38">
        <v>46729</v>
      </c>
    </row>
    <row r="39" spans="1:18" x14ac:dyDescent="0.3">
      <c r="A39" t="s">
        <v>99</v>
      </c>
      <c r="B39" t="s">
        <v>100</v>
      </c>
      <c r="C39" t="s">
        <v>44</v>
      </c>
      <c r="D39" t="s">
        <v>16</v>
      </c>
      <c r="E39" t="s">
        <v>12</v>
      </c>
      <c r="F39">
        <v>34</v>
      </c>
      <c r="G39" t="s">
        <v>17</v>
      </c>
      <c r="H39">
        <v>29718</v>
      </c>
      <c r="I39" t="str">
        <f t="shared" si="0"/>
        <v>ITEmp_37</v>
      </c>
      <c r="J39" t="str">
        <f t="shared" si="1"/>
        <v>FemaleITMumbai29718</v>
      </c>
      <c r="K39" t="str">
        <f t="shared" si="2"/>
        <v>34PrinterMumbai</v>
      </c>
      <c r="L39" t="str">
        <f t="shared" si="3"/>
        <v>29718Printer</v>
      </c>
      <c r="N39">
        <v>34415</v>
      </c>
      <c r="Q39" t="str">
        <f>INDEX(A1:J501,MATCH("FemaleMarketingPune36734",J1:J501,0),MATCH("Name",A1:J1,0))</f>
        <v>Emp_180</v>
      </c>
    </row>
    <row r="40" spans="1:18" x14ac:dyDescent="0.3">
      <c r="A40" t="s">
        <v>101</v>
      </c>
      <c r="B40" t="s">
        <v>102</v>
      </c>
      <c r="C40" t="s">
        <v>10</v>
      </c>
      <c r="D40" t="s">
        <v>55</v>
      </c>
      <c r="E40" t="s">
        <v>12</v>
      </c>
      <c r="F40">
        <v>45</v>
      </c>
      <c r="G40" t="s">
        <v>62</v>
      </c>
      <c r="H40">
        <v>41221</v>
      </c>
      <c r="I40" t="str">
        <f t="shared" si="0"/>
        <v>SalesEmp_38</v>
      </c>
      <c r="J40" t="str">
        <f t="shared" si="1"/>
        <v>FemaleSalesHyderabad41221</v>
      </c>
      <c r="K40" t="str">
        <f t="shared" si="2"/>
        <v>45MobileHyderabad</v>
      </c>
      <c r="L40" t="str">
        <f t="shared" si="3"/>
        <v>41221Mobile</v>
      </c>
      <c r="N40">
        <v>36734</v>
      </c>
    </row>
    <row r="41" spans="1:18" x14ac:dyDescent="0.3">
      <c r="A41" t="s">
        <v>103</v>
      </c>
      <c r="B41" t="s">
        <v>104</v>
      </c>
      <c r="C41" t="s">
        <v>20</v>
      </c>
      <c r="D41" t="s">
        <v>11</v>
      </c>
      <c r="E41" t="s">
        <v>26</v>
      </c>
      <c r="F41">
        <v>58</v>
      </c>
      <c r="G41" t="s">
        <v>17</v>
      </c>
      <c r="H41">
        <v>36195</v>
      </c>
      <c r="I41" t="str">
        <f t="shared" si="0"/>
        <v>HREmp_39</v>
      </c>
      <c r="J41" t="str">
        <f t="shared" si="1"/>
        <v>MaleHRDelhi36195</v>
      </c>
      <c r="K41" t="str">
        <f t="shared" si="2"/>
        <v>58PrinterDelhi</v>
      </c>
      <c r="L41" t="str">
        <f t="shared" si="3"/>
        <v>36195Printer</v>
      </c>
      <c r="N41">
        <v>6480</v>
      </c>
    </row>
    <row r="42" spans="1:18" x14ac:dyDescent="0.3">
      <c r="A42" t="s">
        <v>105</v>
      </c>
      <c r="B42" t="s">
        <v>106</v>
      </c>
      <c r="C42" t="s">
        <v>20</v>
      </c>
      <c r="D42" t="s">
        <v>55</v>
      </c>
      <c r="E42" t="s">
        <v>12</v>
      </c>
      <c r="F42">
        <v>50</v>
      </c>
      <c r="G42" t="s">
        <v>13</v>
      </c>
      <c r="H42">
        <v>8677</v>
      </c>
      <c r="I42" t="str">
        <f t="shared" si="0"/>
        <v>HREmp_40</v>
      </c>
      <c r="J42" t="str">
        <f t="shared" si="1"/>
        <v>FemaleHRHyderabad8677</v>
      </c>
      <c r="K42" t="str">
        <f t="shared" si="2"/>
        <v>50MonitorHyderabad</v>
      </c>
      <c r="L42" t="str">
        <f t="shared" si="3"/>
        <v>8677Monitor</v>
      </c>
      <c r="N42">
        <v>7726</v>
      </c>
    </row>
    <row r="43" spans="1:18" x14ac:dyDescent="0.3">
      <c r="A43" t="s">
        <v>107</v>
      </c>
      <c r="B43" t="s">
        <v>108</v>
      </c>
      <c r="C43" t="s">
        <v>37</v>
      </c>
      <c r="D43" t="s">
        <v>25</v>
      </c>
      <c r="E43" t="s">
        <v>12</v>
      </c>
      <c r="F43">
        <v>51</v>
      </c>
      <c r="G43" t="s">
        <v>13</v>
      </c>
      <c r="H43">
        <v>46729</v>
      </c>
      <c r="I43" t="str">
        <f t="shared" si="0"/>
        <v>MarketingEmp_41</v>
      </c>
      <c r="J43" t="str">
        <f t="shared" si="1"/>
        <v>FemaleMarketingPune46729</v>
      </c>
      <c r="K43" t="str">
        <f t="shared" si="2"/>
        <v>51MonitorPune</v>
      </c>
      <c r="L43" t="str">
        <f t="shared" si="3"/>
        <v>46729Monitor</v>
      </c>
      <c r="N43">
        <v>33060</v>
      </c>
      <c r="R43" t="s">
        <v>1039</v>
      </c>
    </row>
    <row r="44" spans="1:18" x14ac:dyDescent="0.3">
      <c r="A44" t="s">
        <v>109</v>
      </c>
      <c r="B44" t="s">
        <v>110</v>
      </c>
      <c r="C44" t="s">
        <v>20</v>
      </c>
      <c r="D44" t="s">
        <v>25</v>
      </c>
      <c r="E44" t="s">
        <v>12</v>
      </c>
      <c r="F44">
        <v>40</v>
      </c>
      <c r="G44" t="s">
        <v>17</v>
      </c>
      <c r="H44">
        <v>5619</v>
      </c>
      <c r="I44" t="str">
        <f t="shared" si="0"/>
        <v>HREmp_42</v>
      </c>
      <c r="J44" t="str">
        <f t="shared" si="1"/>
        <v>FemaleHRPune5619</v>
      </c>
      <c r="K44" t="str">
        <f t="shared" si="2"/>
        <v>40PrinterPune</v>
      </c>
      <c r="L44" t="str">
        <f t="shared" si="3"/>
        <v>5619Printer</v>
      </c>
      <c r="O44" s="1"/>
    </row>
    <row r="45" spans="1:18" x14ac:dyDescent="0.3">
      <c r="A45" t="s">
        <v>111</v>
      </c>
      <c r="B45" t="s">
        <v>112</v>
      </c>
      <c r="C45" t="s">
        <v>10</v>
      </c>
      <c r="D45" t="s">
        <v>25</v>
      </c>
      <c r="E45" t="s">
        <v>12</v>
      </c>
      <c r="F45">
        <v>46</v>
      </c>
      <c r="G45" t="s">
        <v>32</v>
      </c>
      <c r="H45">
        <v>16231</v>
      </c>
      <c r="I45" t="str">
        <f t="shared" si="0"/>
        <v>SalesEmp_43</v>
      </c>
      <c r="J45" t="str">
        <f t="shared" si="1"/>
        <v>FemaleSalesPune16231</v>
      </c>
      <c r="K45" t="str">
        <f t="shared" si="2"/>
        <v>46LaptopPune</v>
      </c>
      <c r="L45" t="str">
        <f t="shared" si="3"/>
        <v>16231Laptop</v>
      </c>
      <c r="M45" t="s">
        <v>1040</v>
      </c>
      <c r="P45">
        <f>LARGE(N38:N43,2)</f>
        <v>36734</v>
      </c>
    </row>
    <row r="46" spans="1:18" x14ac:dyDescent="0.3">
      <c r="A46" t="s">
        <v>113</v>
      </c>
      <c r="B46" t="s">
        <v>114</v>
      </c>
      <c r="C46" t="s">
        <v>44</v>
      </c>
      <c r="D46" t="s">
        <v>21</v>
      </c>
      <c r="E46" t="s">
        <v>26</v>
      </c>
      <c r="F46">
        <v>54</v>
      </c>
      <c r="G46" t="s">
        <v>62</v>
      </c>
      <c r="H46">
        <v>10418</v>
      </c>
      <c r="I46" t="str">
        <f t="shared" si="0"/>
        <v>ITEmp_44</v>
      </c>
      <c r="J46" t="str">
        <f t="shared" si="1"/>
        <v>MaleITBangalore10418</v>
      </c>
      <c r="K46" t="str">
        <f t="shared" si="2"/>
        <v>54MobileBangalore</v>
      </c>
      <c r="L46" t="str">
        <f t="shared" si="3"/>
        <v>10418Mobile</v>
      </c>
    </row>
    <row r="47" spans="1:18" x14ac:dyDescent="0.3">
      <c r="A47" t="s">
        <v>115</v>
      </c>
      <c r="B47" t="s">
        <v>116</v>
      </c>
      <c r="C47" t="s">
        <v>37</v>
      </c>
      <c r="D47" t="s">
        <v>55</v>
      </c>
      <c r="E47" t="s">
        <v>26</v>
      </c>
      <c r="F47">
        <v>55</v>
      </c>
      <c r="G47" t="s">
        <v>13</v>
      </c>
      <c r="H47">
        <v>37758</v>
      </c>
      <c r="I47" t="str">
        <f t="shared" si="0"/>
        <v>MarketingEmp_45</v>
      </c>
      <c r="J47" t="str">
        <f t="shared" si="1"/>
        <v>MaleMarketingHyderabad37758</v>
      </c>
      <c r="K47" t="str">
        <f t="shared" si="2"/>
        <v>55MonitorHyderabad</v>
      </c>
      <c r="L47" t="str">
        <f t="shared" si="3"/>
        <v>37758Monitor</v>
      </c>
      <c r="O47" s="1" t="s">
        <v>1042</v>
      </c>
    </row>
    <row r="48" spans="1:18" x14ac:dyDescent="0.3">
      <c r="A48" t="s">
        <v>117</v>
      </c>
      <c r="B48" t="s">
        <v>118</v>
      </c>
      <c r="C48" t="s">
        <v>10</v>
      </c>
      <c r="D48" t="s">
        <v>25</v>
      </c>
      <c r="E48" t="s">
        <v>26</v>
      </c>
      <c r="F48">
        <v>48</v>
      </c>
      <c r="G48" t="s">
        <v>62</v>
      </c>
      <c r="H48">
        <v>33436</v>
      </c>
      <c r="I48" t="str">
        <f t="shared" si="0"/>
        <v>SalesEmp_46</v>
      </c>
      <c r="J48" t="str">
        <f t="shared" si="1"/>
        <v>MaleSalesPune33436</v>
      </c>
      <c r="K48" t="str">
        <f t="shared" si="2"/>
        <v>48MobilePune</v>
      </c>
      <c r="L48" t="str">
        <f t="shared" si="3"/>
        <v>33436Mobile</v>
      </c>
      <c r="R48">
        <f>MAX(F1:F501)</f>
        <v>60</v>
      </c>
    </row>
    <row r="49" spans="1:17" x14ac:dyDescent="0.3">
      <c r="A49" t="s">
        <v>119</v>
      </c>
      <c r="B49" t="s">
        <v>120</v>
      </c>
      <c r="C49" t="s">
        <v>44</v>
      </c>
      <c r="D49" t="s">
        <v>25</v>
      </c>
      <c r="E49" t="s">
        <v>12</v>
      </c>
      <c r="F49">
        <v>32</v>
      </c>
      <c r="G49" t="s">
        <v>13</v>
      </c>
      <c r="H49">
        <v>47264</v>
      </c>
      <c r="I49" t="str">
        <f t="shared" si="0"/>
        <v>ITEmp_47</v>
      </c>
      <c r="J49" t="str">
        <f t="shared" si="1"/>
        <v>FemaleITPune47264</v>
      </c>
      <c r="K49" t="str">
        <f t="shared" si="2"/>
        <v>32MonitorPune</v>
      </c>
      <c r="L49" t="str">
        <f t="shared" si="3"/>
        <v>47264Monitor</v>
      </c>
      <c r="Q49">
        <f>INDEX(A1:K501,MATCH("60PrinterPune",K1:K501,0),MATCH("SalesAmount",A1:K1,0))</f>
        <v>42083</v>
      </c>
    </row>
    <row r="50" spans="1:17" x14ac:dyDescent="0.3">
      <c r="A50" t="s">
        <v>121</v>
      </c>
      <c r="B50" t="s">
        <v>122</v>
      </c>
      <c r="C50" t="s">
        <v>10</v>
      </c>
      <c r="D50" t="s">
        <v>55</v>
      </c>
      <c r="E50" t="s">
        <v>26</v>
      </c>
      <c r="F50">
        <v>34</v>
      </c>
      <c r="G50" t="s">
        <v>27</v>
      </c>
      <c r="H50">
        <v>26710</v>
      </c>
      <c r="I50" t="str">
        <f t="shared" si="0"/>
        <v>SalesEmp_48</v>
      </c>
      <c r="J50" t="str">
        <f t="shared" si="1"/>
        <v>MaleSalesHyderabad26710</v>
      </c>
      <c r="K50" t="str">
        <f t="shared" si="2"/>
        <v>34TabletHyderabad</v>
      </c>
      <c r="L50" t="str">
        <f t="shared" si="3"/>
        <v>26710Tablet</v>
      </c>
      <c r="Q50" t="s">
        <v>1039</v>
      </c>
    </row>
    <row r="51" spans="1:17" x14ac:dyDescent="0.3">
      <c r="A51" t="s">
        <v>123</v>
      </c>
      <c r="B51" t="s">
        <v>124</v>
      </c>
      <c r="C51" t="s">
        <v>37</v>
      </c>
      <c r="D51" t="s">
        <v>25</v>
      </c>
      <c r="E51" t="s">
        <v>26</v>
      </c>
      <c r="F51">
        <v>60</v>
      </c>
      <c r="G51" t="s">
        <v>17</v>
      </c>
      <c r="H51">
        <v>42083</v>
      </c>
      <c r="I51" t="str">
        <f t="shared" si="0"/>
        <v>MarketingEmp_49</v>
      </c>
      <c r="J51" t="str">
        <f t="shared" si="1"/>
        <v>MaleMarketingPune42083</v>
      </c>
      <c r="K51" t="str">
        <f t="shared" si="2"/>
        <v>60PrinterPune</v>
      </c>
      <c r="L51" t="str">
        <f t="shared" si="3"/>
        <v>42083Printer</v>
      </c>
    </row>
    <row r="52" spans="1:17" x14ac:dyDescent="0.3">
      <c r="A52" t="s">
        <v>125</v>
      </c>
      <c r="B52" t="s">
        <v>126</v>
      </c>
      <c r="C52" t="s">
        <v>20</v>
      </c>
      <c r="D52" t="s">
        <v>55</v>
      </c>
      <c r="E52" t="s">
        <v>12</v>
      </c>
      <c r="F52">
        <v>30</v>
      </c>
      <c r="G52" t="s">
        <v>13</v>
      </c>
      <c r="H52">
        <v>11249</v>
      </c>
      <c r="I52" t="str">
        <f t="shared" si="0"/>
        <v>HREmp_50</v>
      </c>
      <c r="J52" t="str">
        <f t="shared" si="1"/>
        <v>FemaleHRHyderabad11249</v>
      </c>
      <c r="K52" t="str">
        <f t="shared" si="2"/>
        <v>30MonitorHyderabad</v>
      </c>
      <c r="L52" t="str">
        <f t="shared" si="3"/>
        <v>11249Monitor</v>
      </c>
    </row>
    <row r="53" spans="1:17" x14ac:dyDescent="0.3">
      <c r="A53" t="s">
        <v>127</v>
      </c>
      <c r="B53" t="s">
        <v>128</v>
      </c>
      <c r="C53" t="s">
        <v>37</v>
      </c>
      <c r="D53" t="s">
        <v>11</v>
      </c>
      <c r="E53" t="s">
        <v>26</v>
      </c>
      <c r="F53">
        <v>38</v>
      </c>
      <c r="G53" t="s">
        <v>17</v>
      </c>
      <c r="H53">
        <v>39613</v>
      </c>
      <c r="I53" t="str">
        <f t="shared" si="0"/>
        <v>MarketingEmp_51</v>
      </c>
      <c r="J53" t="str">
        <f t="shared" si="1"/>
        <v>MaleMarketingDelhi39613</v>
      </c>
      <c r="K53" t="str">
        <f t="shared" si="2"/>
        <v>38PrinterDelhi</v>
      </c>
      <c r="L53" t="str">
        <f t="shared" si="3"/>
        <v>39613Printer</v>
      </c>
    </row>
    <row r="54" spans="1:17" x14ac:dyDescent="0.3">
      <c r="A54" t="s">
        <v>129</v>
      </c>
      <c r="B54" t="s">
        <v>130</v>
      </c>
      <c r="C54" t="s">
        <v>20</v>
      </c>
      <c r="D54" t="s">
        <v>55</v>
      </c>
      <c r="E54" t="s">
        <v>26</v>
      </c>
      <c r="F54">
        <v>25</v>
      </c>
      <c r="G54" t="s">
        <v>27</v>
      </c>
      <c r="H54">
        <v>7788</v>
      </c>
      <c r="I54" t="str">
        <f t="shared" si="0"/>
        <v>HREmp_52</v>
      </c>
      <c r="J54" t="str">
        <f t="shared" si="1"/>
        <v>MaleHRHyderabad7788</v>
      </c>
      <c r="K54" t="str">
        <f t="shared" si="2"/>
        <v>25TabletHyderabad</v>
      </c>
      <c r="L54" t="str">
        <f t="shared" si="3"/>
        <v>7788Tablet</v>
      </c>
    </row>
    <row r="55" spans="1:17" x14ac:dyDescent="0.3">
      <c r="A55" t="s">
        <v>131</v>
      </c>
      <c r="B55" t="s">
        <v>132</v>
      </c>
      <c r="C55" t="s">
        <v>37</v>
      </c>
      <c r="D55" t="s">
        <v>55</v>
      </c>
      <c r="E55" t="s">
        <v>12</v>
      </c>
      <c r="F55">
        <v>52</v>
      </c>
      <c r="G55" t="s">
        <v>62</v>
      </c>
      <c r="H55">
        <v>20057</v>
      </c>
      <c r="I55" t="str">
        <f t="shared" si="0"/>
        <v>MarketingEmp_53</v>
      </c>
      <c r="J55" t="str">
        <f t="shared" si="1"/>
        <v>FemaleMarketingHyderabad20057</v>
      </c>
      <c r="K55" t="str">
        <f t="shared" si="2"/>
        <v>52MobileHyderabad</v>
      </c>
      <c r="L55" t="str">
        <f t="shared" si="3"/>
        <v>20057Mobile</v>
      </c>
    </row>
    <row r="56" spans="1:17" x14ac:dyDescent="0.3">
      <c r="A56" t="s">
        <v>133</v>
      </c>
      <c r="B56" t="s">
        <v>134</v>
      </c>
      <c r="C56" t="s">
        <v>24</v>
      </c>
      <c r="D56" t="s">
        <v>21</v>
      </c>
      <c r="E56" t="s">
        <v>26</v>
      </c>
      <c r="F56">
        <v>45</v>
      </c>
      <c r="G56" t="s">
        <v>17</v>
      </c>
      <c r="H56">
        <v>18855</v>
      </c>
      <c r="I56" t="str">
        <f t="shared" si="0"/>
        <v>FinanceEmp_54</v>
      </c>
      <c r="J56" t="str">
        <f t="shared" si="1"/>
        <v>MaleFinanceBangalore18855</v>
      </c>
      <c r="K56" t="str">
        <f t="shared" si="2"/>
        <v>45PrinterBangalore</v>
      </c>
      <c r="L56" t="str">
        <f t="shared" si="3"/>
        <v>18855Printer</v>
      </c>
    </row>
    <row r="57" spans="1:17" x14ac:dyDescent="0.3">
      <c r="A57" t="s">
        <v>135</v>
      </c>
      <c r="B57" t="s">
        <v>136</v>
      </c>
      <c r="C57" t="s">
        <v>10</v>
      </c>
      <c r="D57" t="s">
        <v>11</v>
      </c>
      <c r="E57" t="s">
        <v>12</v>
      </c>
      <c r="F57">
        <v>57</v>
      </c>
      <c r="G57" t="s">
        <v>13</v>
      </c>
      <c r="H57">
        <v>42144</v>
      </c>
      <c r="I57" t="str">
        <f t="shared" si="0"/>
        <v>SalesEmp_55</v>
      </c>
      <c r="J57" t="str">
        <f t="shared" si="1"/>
        <v>FemaleSalesDelhi42144</v>
      </c>
      <c r="K57" t="str">
        <f t="shared" si="2"/>
        <v>57MonitorDelhi</v>
      </c>
      <c r="L57" t="str">
        <f t="shared" si="3"/>
        <v>42144Monitor</v>
      </c>
    </row>
    <row r="58" spans="1:17" x14ac:dyDescent="0.3">
      <c r="A58" t="s">
        <v>137</v>
      </c>
      <c r="B58" t="s">
        <v>138</v>
      </c>
      <c r="C58" t="s">
        <v>10</v>
      </c>
      <c r="D58" t="s">
        <v>21</v>
      </c>
      <c r="E58" t="s">
        <v>26</v>
      </c>
      <c r="F58">
        <v>28</v>
      </c>
      <c r="G58" t="s">
        <v>27</v>
      </c>
      <c r="H58">
        <v>36162</v>
      </c>
      <c r="I58" t="str">
        <f t="shared" si="0"/>
        <v>SalesEmp_56</v>
      </c>
      <c r="J58" t="str">
        <f t="shared" si="1"/>
        <v>MaleSalesBangalore36162</v>
      </c>
      <c r="K58" t="str">
        <f t="shared" si="2"/>
        <v>28TabletBangalore</v>
      </c>
      <c r="L58" t="str">
        <f t="shared" si="3"/>
        <v>36162Tablet</v>
      </c>
    </row>
    <row r="59" spans="1:17" x14ac:dyDescent="0.3">
      <c r="A59" t="s">
        <v>139</v>
      </c>
      <c r="B59" t="s">
        <v>140</v>
      </c>
      <c r="C59" t="s">
        <v>24</v>
      </c>
      <c r="D59" t="s">
        <v>25</v>
      </c>
      <c r="E59" t="s">
        <v>26</v>
      </c>
      <c r="F59">
        <v>55</v>
      </c>
      <c r="G59" t="s">
        <v>13</v>
      </c>
      <c r="H59">
        <v>22766</v>
      </c>
      <c r="I59" t="str">
        <f t="shared" si="0"/>
        <v>FinanceEmp_57</v>
      </c>
      <c r="J59" t="str">
        <f t="shared" si="1"/>
        <v>MaleFinancePune22766</v>
      </c>
      <c r="K59" t="str">
        <f t="shared" si="2"/>
        <v>55MonitorPune</v>
      </c>
      <c r="L59" t="str">
        <f t="shared" si="3"/>
        <v>22766Monitor</v>
      </c>
    </row>
    <row r="60" spans="1:17" x14ac:dyDescent="0.3">
      <c r="A60" t="s">
        <v>141</v>
      </c>
      <c r="B60" t="s">
        <v>142</v>
      </c>
      <c r="C60" t="s">
        <v>20</v>
      </c>
      <c r="D60" t="s">
        <v>55</v>
      </c>
      <c r="E60" t="s">
        <v>12</v>
      </c>
      <c r="F60">
        <v>29</v>
      </c>
      <c r="G60" t="s">
        <v>27</v>
      </c>
      <c r="H60">
        <v>8051</v>
      </c>
      <c r="I60" t="str">
        <f t="shared" si="0"/>
        <v>HREmp_58</v>
      </c>
      <c r="J60" t="str">
        <f t="shared" si="1"/>
        <v>FemaleHRHyderabad8051</v>
      </c>
      <c r="K60" t="str">
        <f t="shared" si="2"/>
        <v>29TabletHyderabad</v>
      </c>
      <c r="L60" t="str">
        <f t="shared" si="3"/>
        <v>8051Tablet</v>
      </c>
    </row>
    <row r="61" spans="1:17" x14ac:dyDescent="0.3">
      <c r="A61" t="s">
        <v>143</v>
      </c>
      <c r="B61" t="s">
        <v>144</v>
      </c>
      <c r="C61" t="s">
        <v>10</v>
      </c>
      <c r="D61" t="s">
        <v>11</v>
      </c>
      <c r="E61" t="s">
        <v>26</v>
      </c>
      <c r="F61">
        <v>40</v>
      </c>
      <c r="G61" t="s">
        <v>27</v>
      </c>
      <c r="H61">
        <v>9872</v>
      </c>
      <c r="I61" t="str">
        <f t="shared" si="0"/>
        <v>SalesEmp_59</v>
      </c>
      <c r="J61" t="str">
        <f t="shared" si="1"/>
        <v>MaleSalesDelhi9872</v>
      </c>
      <c r="K61" t="str">
        <f t="shared" si="2"/>
        <v>40TabletDelhi</v>
      </c>
      <c r="L61" t="str">
        <f t="shared" si="3"/>
        <v>9872Tablet</v>
      </c>
    </row>
    <row r="62" spans="1:17" x14ac:dyDescent="0.3">
      <c r="A62" t="s">
        <v>145</v>
      </c>
      <c r="B62" t="s">
        <v>146</v>
      </c>
      <c r="C62" t="s">
        <v>24</v>
      </c>
      <c r="D62" t="s">
        <v>21</v>
      </c>
      <c r="E62" t="s">
        <v>12</v>
      </c>
      <c r="F62">
        <v>27</v>
      </c>
      <c r="G62" t="s">
        <v>13</v>
      </c>
      <c r="H62">
        <v>49854</v>
      </c>
      <c r="I62" t="str">
        <f t="shared" si="0"/>
        <v>FinanceEmp_60</v>
      </c>
      <c r="J62" t="str">
        <f t="shared" si="1"/>
        <v>FemaleFinanceBangalore49854</v>
      </c>
      <c r="K62" t="str">
        <f t="shared" si="2"/>
        <v>27MonitorBangalore</v>
      </c>
      <c r="L62" t="str">
        <f t="shared" si="3"/>
        <v>49854Monitor</v>
      </c>
    </row>
    <row r="63" spans="1:17" x14ac:dyDescent="0.3">
      <c r="A63" t="s">
        <v>147</v>
      </c>
      <c r="B63" t="s">
        <v>148</v>
      </c>
      <c r="C63" t="s">
        <v>10</v>
      </c>
      <c r="D63" t="s">
        <v>55</v>
      </c>
      <c r="E63" t="s">
        <v>12</v>
      </c>
      <c r="F63">
        <v>32</v>
      </c>
      <c r="G63" t="s">
        <v>17</v>
      </c>
      <c r="H63">
        <v>23374</v>
      </c>
      <c r="I63" t="str">
        <f t="shared" si="0"/>
        <v>SalesEmp_61</v>
      </c>
      <c r="J63" t="str">
        <f t="shared" si="1"/>
        <v>FemaleSalesHyderabad23374</v>
      </c>
      <c r="K63" t="str">
        <f t="shared" si="2"/>
        <v>32PrinterHyderabad</v>
      </c>
      <c r="L63" t="str">
        <f t="shared" si="3"/>
        <v>23374Printer</v>
      </c>
    </row>
    <row r="64" spans="1:17" x14ac:dyDescent="0.3">
      <c r="A64" t="s">
        <v>149</v>
      </c>
      <c r="B64" t="s">
        <v>150</v>
      </c>
      <c r="C64" t="s">
        <v>44</v>
      </c>
      <c r="D64" t="s">
        <v>16</v>
      </c>
      <c r="E64" t="s">
        <v>12</v>
      </c>
      <c r="F64">
        <v>39</v>
      </c>
      <c r="G64" t="s">
        <v>62</v>
      </c>
      <c r="H64">
        <v>40588</v>
      </c>
      <c r="I64" t="str">
        <f t="shared" si="0"/>
        <v>ITEmp_62</v>
      </c>
      <c r="J64" t="str">
        <f t="shared" si="1"/>
        <v>FemaleITMumbai40588</v>
      </c>
      <c r="K64" t="str">
        <f t="shared" si="2"/>
        <v>39MobileMumbai</v>
      </c>
      <c r="L64" t="str">
        <f t="shared" si="3"/>
        <v>40588Mobile</v>
      </c>
    </row>
    <row r="65" spans="1:12" x14ac:dyDescent="0.3">
      <c r="A65" t="s">
        <v>151</v>
      </c>
      <c r="B65" t="s">
        <v>152</v>
      </c>
      <c r="C65" t="s">
        <v>20</v>
      </c>
      <c r="D65" t="s">
        <v>21</v>
      </c>
      <c r="E65" t="s">
        <v>12</v>
      </c>
      <c r="F65">
        <v>50</v>
      </c>
      <c r="G65" t="s">
        <v>62</v>
      </c>
      <c r="H65">
        <v>41930</v>
      </c>
      <c r="I65" t="str">
        <f t="shared" si="0"/>
        <v>HREmp_63</v>
      </c>
      <c r="J65" t="str">
        <f t="shared" si="1"/>
        <v>FemaleHRBangalore41930</v>
      </c>
      <c r="K65" t="str">
        <f t="shared" si="2"/>
        <v>50MobileBangalore</v>
      </c>
      <c r="L65" t="str">
        <f t="shared" si="3"/>
        <v>41930Mobile</v>
      </c>
    </row>
    <row r="66" spans="1:12" x14ac:dyDescent="0.3">
      <c r="A66" t="s">
        <v>153</v>
      </c>
      <c r="B66" t="s">
        <v>154</v>
      </c>
      <c r="C66" t="s">
        <v>44</v>
      </c>
      <c r="D66" t="s">
        <v>11</v>
      </c>
      <c r="E66" t="s">
        <v>26</v>
      </c>
      <c r="F66">
        <v>54</v>
      </c>
      <c r="G66" t="s">
        <v>27</v>
      </c>
      <c r="H66">
        <v>48129</v>
      </c>
      <c r="I66" t="str">
        <f t="shared" si="0"/>
        <v>ITEmp_64</v>
      </c>
      <c r="J66" t="str">
        <f t="shared" si="1"/>
        <v>MaleITDelhi48129</v>
      </c>
      <c r="K66" t="str">
        <f t="shared" si="2"/>
        <v>54TabletDelhi</v>
      </c>
      <c r="L66" t="str">
        <f t="shared" si="3"/>
        <v>48129Tablet</v>
      </c>
    </row>
    <row r="67" spans="1:12" x14ac:dyDescent="0.3">
      <c r="A67" t="s">
        <v>155</v>
      </c>
      <c r="B67" t="s">
        <v>156</v>
      </c>
      <c r="C67" t="s">
        <v>20</v>
      </c>
      <c r="D67" t="s">
        <v>21</v>
      </c>
      <c r="E67" t="s">
        <v>26</v>
      </c>
      <c r="F67">
        <v>31</v>
      </c>
      <c r="G67" t="s">
        <v>13</v>
      </c>
      <c r="H67">
        <v>7156</v>
      </c>
      <c r="I67" t="str">
        <f t="shared" ref="I67:I130" si="4">_xlfn.CONCAT(C67,B67)</f>
        <v>HREmp_65</v>
      </c>
      <c r="J67" t="str">
        <f t="shared" ref="J67:J130" si="5">_xlfn.CONCAT(E67,C67,D67,H67)</f>
        <v>MaleHRBangalore7156</v>
      </c>
      <c r="K67" t="str">
        <f t="shared" ref="K67:K130" si="6">_xlfn.CONCAT(F67,G67,D67)</f>
        <v>31MonitorBangalore</v>
      </c>
      <c r="L67" t="str">
        <f t="shared" ref="L67:L130" si="7">_xlfn.CONCAT(H67,G67)</f>
        <v>7156Monitor</v>
      </c>
    </row>
    <row r="68" spans="1:12" x14ac:dyDescent="0.3">
      <c r="A68" t="s">
        <v>157</v>
      </c>
      <c r="B68" t="s">
        <v>158</v>
      </c>
      <c r="C68" t="s">
        <v>24</v>
      </c>
      <c r="D68" t="s">
        <v>21</v>
      </c>
      <c r="E68" t="s">
        <v>12</v>
      </c>
      <c r="F68">
        <v>49</v>
      </c>
      <c r="G68" t="s">
        <v>27</v>
      </c>
      <c r="H68">
        <v>16754</v>
      </c>
      <c r="I68" t="str">
        <f t="shared" si="4"/>
        <v>FinanceEmp_66</v>
      </c>
      <c r="J68" t="str">
        <f t="shared" si="5"/>
        <v>FemaleFinanceBangalore16754</v>
      </c>
      <c r="K68" t="str">
        <f t="shared" si="6"/>
        <v>49TabletBangalore</v>
      </c>
      <c r="L68" t="str">
        <f t="shared" si="7"/>
        <v>16754Tablet</v>
      </c>
    </row>
    <row r="69" spans="1:12" x14ac:dyDescent="0.3">
      <c r="A69" t="s">
        <v>159</v>
      </c>
      <c r="B69" t="s">
        <v>160</v>
      </c>
      <c r="C69" t="s">
        <v>20</v>
      </c>
      <c r="D69" t="s">
        <v>21</v>
      </c>
      <c r="E69" t="s">
        <v>26</v>
      </c>
      <c r="F69">
        <v>27</v>
      </c>
      <c r="G69" t="s">
        <v>62</v>
      </c>
      <c r="H69">
        <v>25610</v>
      </c>
      <c r="I69" t="str">
        <f t="shared" si="4"/>
        <v>HREmp_67</v>
      </c>
      <c r="J69" t="str">
        <f t="shared" si="5"/>
        <v>MaleHRBangalore25610</v>
      </c>
      <c r="K69" t="str">
        <f t="shared" si="6"/>
        <v>27MobileBangalore</v>
      </c>
      <c r="L69" t="str">
        <f t="shared" si="7"/>
        <v>25610Mobile</v>
      </c>
    </row>
    <row r="70" spans="1:12" x14ac:dyDescent="0.3">
      <c r="A70" t="s">
        <v>161</v>
      </c>
      <c r="B70" t="s">
        <v>162</v>
      </c>
      <c r="C70" t="s">
        <v>20</v>
      </c>
      <c r="D70" t="s">
        <v>25</v>
      </c>
      <c r="E70" t="s">
        <v>26</v>
      </c>
      <c r="F70">
        <v>36</v>
      </c>
      <c r="G70" t="s">
        <v>27</v>
      </c>
      <c r="H70">
        <v>6026</v>
      </c>
      <c r="I70" t="str">
        <f t="shared" si="4"/>
        <v>HREmp_68</v>
      </c>
      <c r="J70" t="str">
        <f t="shared" si="5"/>
        <v>MaleHRPune6026</v>
      </c>
      <c r="K70" t="str">
        <f t="shared" si="6"/>
        <v>36TabletPune</v>
      </c>
      <c r="L70" t="str">
        <f t="shared" si="7"/>
        <v>6026Tablet</v>
      </c>
    </row>
    <row r="71" spans="1:12" x14ac:dyDescent="0.3">
      <c r="A71" t="s">
        <v>163</v>
      </c>
      <c r="B71" t="s">
        <v>164</v>
      </c>
      <c r="C71" t="s">
        <v>24</v>
      </c>
      <c r="D71" t="s">
        <v>16</v>
      </c>
      <c r="E71" t="s">
        <v>26</v>
      </c>
      <c r="F71">
        <v>50</v>
      </c>
      <c r="G71" t="s">
        <v>27</v>
      </c>
      <c r="H71">
        <v>18576</v>
      </c>
      <c r="I71" t="str">
        <f t="shared" si="4"/>
        <v>FinanceEmp_69</v>
      </c>
      <c r="J71" t="str">
        <f t="shared" si="5"/>
        <v>MaleFinanceMumbai18576</v>
      </c>
      <c r="K71" t="str">
        <f t="shared" si="6"/>
        <v>50TabletMumbai</v>
      </c>
      <c r="L71" t="str">
        <f t="shared" si="7"/>
        <v>18576Tablet</v>
      </c>
    </row>
    <row r="72" spans="1:12" x14ac:dyDescent="0.3">
      <c r="A72" t="s">
        <v>165</v>
      </c>
      <c r="B72" t="s">
        <v>166</v>
      </c>
      <c r="C72" t="s">
        <v>20</v>
      </c>
      <c r="D72" t="s">
        <v>11</v>
      </c>
      <c r="E72" t="s">
        <v>26</v>
      </c>
      <c r="F72">
        <v>44</v>
      </c>
      <c r="G72" t="s">
        <v>62</v>
      </c>
      <c r="H72">
        <v>43471</v>
      </c>
      <c r="I72" t="str">
        <f t="shared" si="4"/>
        <v>HREmp_70</v>
      </c>
      <c r="J72" t="str">
        <f t="shared" si="5"/>
        <v>MaleHRDelhi43471</v>
      </c>
      <c r="K72" t="str">
        <f t="shared" si="6"/>
        <v>44MobileDelhi</v>
      </c>
      <c r="L72" t="str">
        <f t="shared" si="7"/>
        <v>43471Mobile</v>
      </c>
    </row>
    <row r="73" spans="1:12" x14ac:dyDescent="0.3">
      <c r="A73" t="s">
        <v>167</v>
      </c>
      <c r="B73" t="s">
        <v>168</v>
      </c>
      <c r="C73" t="s">
        <v>10</v>
      </c>
      <c r="D73" t="s">
        <v>11</v>
      </c>
      <c r="E73" t="s">
        <v>12</v>
      </c>
      <c r="F73">
        <v>23</v>
      </c>
      <c r="G73" t="s">
        <v>17</v>
      </c>
      <c r="H73">
        <v>14449</v>
      </c>
      <c r="I73" t="str">
        <f t="shared" si="4"/>
        <v>SalesEmp_71</v>
      </c>
      <c r="J73" t="str">
        <f t="shared" si="5"/>
        <v>FemaleSalesDelhi14449</v>
      </c>
      <c r="K73" t="str">
        <f t="shared" si="6"/>
        <v>23PrinterDelhi</v>
      </c>
      <c r="L73" t="str">
        <f t="shared" si="7"/>
        <v>14449Printer</v>
      </c>
    </row>
    <row r="74" spans="1:12" x14ac:dyDescent="0.3">
      <c r="A74" t="s">
        <v>169</v>
      </c>
      <c r="B74" t="s">
        <v>170</v>
      </c>
      <c r="C74" t="s">
        <v>37</v>
      </c>
      <c r="D74" t="s">
        <v>11</v>
      </c>
      <c r="E74" t="s">
        <v>26</v>
      </c>
      <c r="F74">
        <v>48</v>
      </c>
      <c r="G74" t="s">
        <v>27</v>
      </c>
      <c r="H74">
        <v>31102</v>
      </c>
      <c r="I74" t="str">
        <f t="shared" si="4"/>
        <v>MarketingEmp_72</v>
      </c>
      <c r="J74" t="str">
        <f t="shared" si="5"/>
        <v>MaleMarketingDelhi31102</v>
      </c>
      <c r="K74" t="str">
        <f t="shared" si="6"/>
        <v>48TabletDelhi</v>
      </c>
      <c r="L74" t="str">
        <f t="shared" si="7"/>
        <v>31102Tablet</v>
      </c>
    </row>
    <row r="75" spans="1:12" x14ac:dyDescent="0.3">
      <c r="A75" t="s">
        <v>171</v>
      </c>
      <c r="B75" t="s">
        <v>172</v>
      </c>
      <c r="C75" t="s">
        <v>24</v>
      </c>
      <c r="D75" t="s">
        <v>55</v>
      </c>
      <c r="E75" t="s">
        <v>12</v>
      </c>
      <c r="F75">
        <v>25</v>
      </c>
      <c r="G75" t="s">
        <v>17</v>
      </c>
      <c r="H75">
        <v>10042</v>
      </c>
      <c r="I75" t="str">
        <f t="shared" si="4"/>
        <v>FinanceEmp_73</v>
      </c>
      <c r="J75" t="str">
        <f t="shared" si="5"/>
        <v>FemaleFinanceHyderabad10042</v>
      </c>
      <c r="K75" t="str">
        <f t="shared" si="6"/>
        <v>25PrinterHyderabad</v>
      </c>
      <c r="L75" t="str">
        <f t="shared" si="7"/>
        <v>10042Printer</v>
      </c>
    </row>
    <row r="76" spans="1:12" x14ac:dyDescent="0.3">
      <c r="A76" t="s">
        <v>173</v>
      </c>
      <c r="B76" t="s">
        <v>174</v>
      </c>
      <c r="C76" t="s">
        <v>37</v>
      </c>
      <c r="D76" t="s">
        <v>11</v>
      </c>
      <c r="E76" t="s">
        <v>26</v>
      </c>
      <c r="F76">
        <v>47</v>
      </c>
      <c r="G76" t="s">
        <v>27</v>
      </c>
      <c r="H76">
        <v>24613</v>
      </c>
      <c r="I76" t="str">
        <f t="shared" si="4"/>
        <v>MarketingEmp_74</v>
      </c>
      <c r="J76" t="str">
        <f t="shared" si="5"/>
        <v>MaleMarketingDelhi24613</v>
      </c>
      <c r="K76" t="str">
        <f t="shared" si="6"/>
        <v>47TabletDelhi</v>
      </c>
      <c r="L76" t="str">
        <f t="shared" si="7"/>
        <v>24613Tablet</v>
      </c>
    </row>
    <row r="77" spans="1:12" x14ac:dyDescent="0.3">
      <c r="A77" t="s">
        <v>175</v>
      </c>
      <c r="B77" t="s">
        <v>176</v>
      </c>
      <c r="C77" t="s">
        <v>24</v>
      </c>
      <c r="D77" t="s">
        <v>11</v>
      </c>
      <c r="E77" t="s">
        <v>26</v>
      </c>
      <c r="F77">
        <v>54</v>
      </c>
      <c r="G77" t="s">
        <v>13</v>
      </c>
      <c r="H77">
        <v>15646</v>
      </c>
      <c r="I77" t="str">
        <f t="shared" si="4"/>
        <v>FinanceEmp_75</v>
      </c>
      <c r="J77" t="str">
        <f t="shared" si="5"/>
        <v>MaleFinanceDelhi15646</v>
      </c>
      <c r="K77" t="str">
        <f t="shared" si="6"/>
        <v>54MonitorDelhi</v>
      </c>
      <c r="L77" t="str">
        <f t="shared" si="7"/>
        <v>15646Monitor</v>
      </c>
    </row>
    <row r="78" spans="1:12" x14ac:dyDescent="0.3">
      <c r="A78" t="s">
        <v>177</v>
      </c>
      <c r="B78" t="s">
        <v>178</v>
      </c>
      <c r="C78" t="s">
        <v>24</v>
      </c>
      <c r="D78" t="s">
        <v>16</v>
      </c>
      <c r="E78" t="s">
        <v>12</v>
      </c>
      <c r="F78">
        <v>45</v>
      </c>
      <c r="G78" t="s">
        <v>27</v>
      </c>
      <c r="H78">
        <v>41959</v>
      </c>
      <c r="I78" t="str">
        <f t="shared" si="4"/>
        <v>FinanceEmp_76</v>
      </c>
      <c r="J78" t="str">
        <f t="shared" si="5"/>
        <v>FemaleFinanceMumbai41959</v>
      </c>
      <c r="K78" t="str">
        <f t="shared" si="6"/>
        <v>45TabletMumbai</v>
      </c>
      <c r="L78" t="str">
        <f t="shared" si="7"/>
        <v>41959Tablet</v>
      </c>
    </row>
    <row r="79" spans="1:12" x14ac:dyDescent="0.3">
      <c r="A79" t="s">
        <v>179</v>
      </c>
      <c r="B79" t="s">
        <v>180</v>
      </c>
      <c r="C79" t="s">
        <v>44</v>
      </c>
      <c r="D79" t="s">
        <v>55</v>
      </c>
      <c r="E79" t="s">
        <v>12</v>
      </c>
      <c r="F79">
        <v>37</v>
      </c>
      <c r="G79" t="s">
        <v>27</v>
      </c>
      <c r="H79">
        <v>20759</v>
      </c>
      <c r="I79" t="str">
        <f t="shared" si="4"/>
        <v>ITEmp_77</v>
      </c>
      <c r="J79" t="str">
        <f t="shared" si="5"/>
        <v>FemaleITHyderabad20759</v>
      </c>
      <c r="K79" t="str">
        <f t="shared" si="6"/>
        <v>37TabletHyderabad</v>
      </c>
      <c r="L79" t="str">
        <f t="shared" si="7"/>
        <v>20759Tablet</v>
      </c>
    </row>
    <row r="80" spans="1:12" x14ac:dyDescent="0.3">
      <c r="A80" t="s">
        <v>181</v>
      </c>
      <c r="B80" t="s">
        <v>182</v>
      </c>
      <c r="C80" t="s">
        <v>44</v>
      </c>
      <c r="D80" t="s">
        <v>55</v>
      </c>
      <c r="E80" t="s">
        <v>12</v>
      </c>
      <c r="F80">
        <v>46</v>
      </c>
      <c r="G80" t="s">
        <v>32</v>
      </c>
      <c r="H80">
        <v>42138</v>
      </c>
      <c r="I80" t="str">
        <f t="shared" si="4"/>
        <v>ITEmp_78</v>
      </c>
      <c r="J80" t="str">
        <f t="shared" si="5"/>
        <v>FemaleITHyderabad42138</v>
      </c>
      <c r="K80" t="str">
        <f t="shared" si="6"/>
        <v>46LaptopHyderabad</v>
      </c>
      <c r="L80" t="str">
        <f t="shared" si="7"/>
        <v>42138Laptop</v>
      </c>
    </row>
    <row r="81" spans="1:12" x14ac:dyDescent="0.3">
      <c r="A81" t="s">
        <v>183</v>
      </c>
      <c r="B81" t="s">
        <v>184</v>
      </c>
      <c r="C81" t="s">
        <v>20</v>
      </c>
      <c r="D81" t="s">
        <v>21</v>
      </c>
      <c r="E81" t="s">
        <v>12</v>
      </c>
      <c r="F81">
        <v>27</v>
      </c>
      <c r="G81" t="s">
        <v>13</v>
      </c>
      <c r="H81">
        <v>30503</v>
      </c>
      <c r="I81" t="str">
        <f t="shared" si="4"/>
        <v>HREmp_79</v>
      </c>
      <c r="J81" t="str">
        <f t="shared" si="5"/>
        <v>FemaleHRBangalore30503</v>
      </c>
      <c r="K81" t="str">
        <f t="shared" si="6"/>
        <v>27MonitorBangalore</v>
      </c>
      <c r="L81" t="str">
        <f t="shared" si="7"/>
        <v>30503Monitor</v>
      </c>
    </row>
    <row r="82" spans="1:12" x14ac:dyDescent="0.3">
      <c r="A82" t="s">
        <v>185</v>
      </c>
      <c r="B82" t="s">
        <v>186</v>
      </c>
      <c r="C82" t="s">
        <v>37</v>
      </c>
      <c r="D82" t="s">
        <v>25</v>
      </c>
      <c r="E82" t="s">
        <v>26</v>
      </c>
      <c r="F82">
        <v>45</v>
      </c>
      <c r="G82" t="s">
        <v>13</v>
      </c>
      <c r="H82">
        <v>49370</v>
      </c>
      <c r="I82" t="str">
        <f t="shared" si="4"/>
        <v>MarketingEmp_80</v>
      </c>
      <c r="J82" t="str">
        <f t="shared" si="5"/>
        <v>MaleMarketingPune49370</v>
      </c>
      <c r="K82" t="str">
        <f t="shared" si="6"/>
        <v>45MonitorPune</v>
      </c>
      <c r="L82" t="str">
        <f t="shared" si="7"/>
        <v>49370Monitor</v>
      </c>
    </row>
    <row r="83" spans="1:12" x14ac:dyDescent="0.3">
      <c r="A83" t="s">
        <v>187</v>
      </c>
      <c r="B83" t="s">
        <v>188</v>
      </c>
      <c r="C83" t="s">
        <v>24</v>
      </c>
      <c r="D83" t="s">
        <v>55</v>
      </c>
      <c r="E83" t="s">
        <v>12</v>
      </c>
      <c r="F83">
        <v>36</v>
      </c>
      <c r="G83" t="s">
        <v>17</v>
      </c>
      <c r="H83">
        <v>40426</v>
      </c>
      <c r="I83" t="str">
        <f t="shared" si="4"/>
        <v>FinanceEmp_81</v>
      </c>
      <c r="J83" t="str">
        <f t="shared" si="5"/>
        <v>FemaleFinanceHyderabad40426</v>
      </c>
      <c r="K83" t="str">
        <f t="shared" si="6"/>
        <v>36PrinterHyderabad</v>
      </c>
      <c r="L83" t="str">
        <f t="shared" si="7"/>
        <v>40426Printer</v>
      </c>
    </row>
    <row r="84" spans="1:12" x14ac:dyDescent="0.3">
      <c r="A84" t="s">
        <v>189</v>
      </c>
      <c r="B84" t="s">
        <v>190</v>
      </c>
      <c r="C84" t="s">
        <v>20</v>
      </c>
      <c r="D84" t="s">
        <v>55</v>
      </c>
      <c r="E84" t="s">
        <v>12</v>
      </c>
      <c r="F84">
        <v>23</v>
      </c>
      <c r="G84" t="s">
        <v>17</v>
      </c>
      <c r="H84">
        <v>26740</v>
      </c>
      <c r="I84" t="str">
        <f t="shared" si="4"/>
        <v>HREmp_82</v>
      </c>
      <c r="J84" t="str">
        <f t="shared" si="5"/>
        <v>FemaleHRHyderabad26740</v>
      </c>
      <c r="K84" t="str">
        <f t="shared" si="6"/>
        <v>23PrinterHyderabad</v>
      </c>
      <c r="L84" t="str">
        <f t="shared" si="7"/>
        <v>26740Printer</v>
      </c>
    </row>
    <row r="85" spans="1:12" x14ac:dyDescent="0.3">
      <c r="A85" t="s">
        <v>191</v>
      </c>
      <c r="B85" t="s">
        <v>192</v>
      </c>
      <c r="C85" t="s">
        <v>10</v>
      </c>
      <c r="D85" t="s">
        <v>16</v>
      </c>
      <c r="E85" t="s">
        <v>26</v>
      </c>
      <c r="F85">
        <v>42</v>
      </c>
      <c r="G85" t="s">
        <v>27</v>
      </c>
      <c r="H85">
        <v>30155</v>
      </c>
      <c r="I85" t="str">
        <f t="shared" si="4"/>
        <v>SalesEmp_83</v>
      </c>
      <c r="J85" t="str">
        <f t="shared" si="5"/>
        <v>MaleSalesMumbai30155</v>
      </c>
      <c r="K85" t="str">
        <f t="shared" si="6"/>
        <v>42TabletMumbai</v>
      </c>
      <c r="L85" t="str">
        <f t="shared" si="7"/>
        <v>30155Tablet</v>
      </c>
    </row>
    <row r="86" spans="1:12" x14ac:dyDescent="0.3">
      <c r="A86" t="s">
        <v>193</v>
      </c>
      <c r="B86" t="s">
        <v>194</v>
      </c>
      <c r="C86" t="s">
        <v>24</v>
      </c>
      <c r="D86" t="s">
        <v>11</v>
      </c>
      <c r="E86" t="s">
        <v>26</v>
      </c>
      <c r="F86">
        <v>28</v>
      </c>
      <c r="G86" t="s">
        <v>62</v>
      </c>
      <c r="H86">
        <v>14171</v>
      </c>
      <c r="I86" t="str">
        <f t="shared" si="4"/>
        <v>FinanceEmp_84</v>
      </c>
      <c r="J86" t="str">
        <f t="shared" si="5"/>
        <v>MaleFinanceDelhi14171</v>
      </c>
      <c r="K86" t="str">
        <f t="shared" si="6"/>
        <v>28MobileDelhi</v>
      </c>
      <c r="L86" t="str">
        <f t="shared" si="7"/>
        <v>14171Mobile</v>
      </c>
    </row>
    <row r="87" spans="1:12" x14ac:dyDescent="0.3">
      <c r="A87" t="s">
        <v>195</v>
      </c>
      <c r="B87" t="s">
        <v>196</v>
      </c>
      <c r="C87" t="s">
        <v>10</v>
      </c>
      <c r="D87" t="s">
        <v>55</v>
      </c>
      <c r="E87" t="s">
        <v>12</v>
      </c>
      <c r="F87">
        <v>43</v>
      </c>
      <c r="G87" t="s">
        <v>27</v>
      </c>
      <c r="H87">
        <v>10139</v>
      </c>
      <c r="I87" t="str">
        <f t="shared" si="4"/>
        <v>SalesEmp_85</v>
      </c>
      <c r="J87" t="str">
        <f t="shared" si="5"/>
        <v>FemaleSalesHyderabad10139</v>
      </c>
      <c r="K87" t="str">
        <f t="shared" si="6"/>
        <v>43TabletHyderabad</v>
      </c>
      <c r="L87" t="str">
        <f t="shared" si="7"/>
        <v>10139Tablet</v>
      </c>
    </row>
    <row r="88" spans="1:12" x14ac:dyDescent="0.3">
      <c r="A88" t="s">
        <v>197</v>
      </c>
      <c r="B88" t="s">
        <v>198</v>
      </c>
      <c r="C88" t="s">
        <v>20</v>
      </c>
      <c r="D88" t="s">
        <v>55</v>
      </c>
      <c r="E88" t="s">
        <v>12</v>
      </c>
      <c r="F88">
        <v>31</v>
      </c>
      <c r="G88" t="s">
        <v>32</v>
      </c>
      <c r="H88">
        <v>37819</v>
      </c>
      <c r="I88" t="str">
        <f t="shared" si="4"/>
        <v>HREmp_86</v>
      </c>
      <c r="J88" t="str">
        <f t="shared" si="5"/>
        <v>FemaleHRHyderabad37819</v>
      </c>
      <c r="K88" t="str">
        <f t="shared" si="6"/>
        <v>31LaptopHyderabad</v>
      </c>
      <c r="L88" t="str">
        <f t="shared" si="7"/>
        <v>37819Laptop</v>
      </c>
    </row>
    <row r="89" spans="1:12" x14ac:dyDescent="0.3">
      <c r="A89" t="s">
        <v>199</v>
      </c>
      <c r="B89" t="s">
        <v>200</v>
      </c>
      <c r="C89" t="s">
        <v>44</v>
      </c>
      <c r="D89" t="s">
        <v>25</v>
      </c>
      <c r="E89" t="s">
        <v>12</v>
      </c>
      <c r="F89">
        <v>30</v>
      </c>
      <c r="G89" t="s">
        <v>27</v>
      </c>
      <c r="H89">
        <v>27666</v>
      </c>
      <c r="I89" t="str">
        <f t="shared" si="4"/>
        <v>ITEmp_87</v>
      </c>
      <c r="J89" t="str">
        <f t="shared" si="5"/>
        <v>FemaleITPune27666</v>
      </c>
      <c r="K89" t="str">
        <f t="shared" si="6"/>
        <v>30TabletPune</v>
      </c>
      <c r="L89" t="str">
        <f t="shared" si="7"/>
        <v>27666Tablet</v>
      </c>
    </row>
    <row r="90" spans="1:12" x14ac:dyDescent="0.3">
      <c r="A90" t="s">
        <v>201</v>
      </c>
      <c r="B90" t="s">
        <v>202</v>
      </c>
      <c r="C90" t="s">
        <v>20</v>
      </c>
      <c r="D90" t="s">
        <v>16</v>
      </c>
      <c r="E90" t="s">
        <v>12</v>
      </c>
      <c r="F90">
        <v>24</v>
      </c>
      <c r="G90" t="s">
        <v>32</v>
      </c>
      <c r="H90">
        <v>8519</v>
      </c>
      <c r="I90" t="str">
        <f t="shared" si="4"/>
        <v>HREmp_88</v>
      </c>
      <c r="J90" t="str">
        <f t="shared" si="5"/>
        <v>FemaleHRMumbai8519</v>
      </c>
      <c r="K90" t="str">
        <f t="shared" si="6"/>
        <v>24LaptopMumbai</v>
      </c>
      <c r="L90" t="str">
        <f t="shared" si="7"/>
        <v>8519Laptop</v>
      </c>
    </row>
    <row r="91" spans="1:12" x14ac:dyDescent="0.3">
      <c r="A91" t="s">
        <v>203</v>
      </c>
      <c r="B91" t="s">
        <v>204</v>
      </c>
      <c r="C91" t="s">
        <v>10</v>
      </c>
      <c r="D91" t="s">
        <v>25</v>
      </c>
      <c r="E91" t="s">
        <v>12</v>
      </c>
      <c r="F91">
        <v>40</v>
      </c>
      <c r="G91" t="s">
        <v>27</v>
      </c>
      <c r="H91">
        <v>11401</v>
      </c>
      <c r="I91" t="str">
        <f t="shared" si="4"/>
        <v>SalesEmp_89</v>
      </c>
      <c r="J91" t="str">
        <f t="shared" si="5"/>
        <v>FemaleSalesPune11401</v>
      </c>
      <c r="K91" t="str">
        <f t="shared" si="6"/>
        <v>40TabletPune</v>
      </c>
      <c r="L91" t="str">
        <f t="shared" si="7"/>
        <v>11401Tablet</v>
      </c>
    </row>
    <row r="92" spans="1:12" x14ac:dyDescent="0.3">
      <c r="A92" t="s">
        <v>205</v>
      </c>
      <c r="B92" t="s">
        <v>206</v>
      </c>
      <c r="C92" t="s">
        <v>24</v>
      </c>
      <c r="D92" t="s">
        <v>55</v>
      </c>
      <c r="E92" t="s">
        <v>12</v>
      </c>
      <c r="F92">
        <v>52</v>
      </c>
      <c r="G92" t="s">
        <v>17</v>
      </c>
      <c r="H92">
        <v>33645</v>
      </c>
      <c r="I92" t="str">
        <f t="shared" si="4"/>
        <v>FinanceEmp_90</v>
      </c>
      <c r="J92" t="str">
        <f t="shared" si="5"/>
        <v>FemaleFinanceHyderabad33645</v>
      </c>
      <c r="K92" t="str">
        <f t="shared" si="6"/>
        <v>52PrinterHyderabad</v>
      </c>
      <c r="L92" t="str">
        <f t="shared" si="7"/>
        <v>33645Printer</v>
      </c>
    </row>
    <row r="93" spans="1:12" x14ac:dyDescent="0.3">
      <c r="A93" t="s">
        <v>207</v>
      </c>
      <c r="B93" t="s">
        <v>208</v>
      </c>
      <c r="C93" t="s">
        <v>37</v>
      </c>
      <c r="D93" t="s">
        <v>55</v>
      </c>
      <c r="E93" t="s">
        <v>12</v>
      </c>
      <c r="F93">
        <v>30</v>
      </c>
      <c r="G93" t="s">
        <v>27</v>
      </c>
      <c r="H93">
        <v>20213</v>
      </c>
      <c r="I93" t="str">
        <f t="shared" si="4"/>
        <v>MarketingEmp_91</v>
      </c>
      <c r="J93" t="str">
        <f t="shared" si="5"/>
        <v>FemaleMarketingHyderabad20213</v>
      </c>
      <c r="K93" t="str">
        <f t="shared" si="6"/>
        <v>30TabletHyderabad</v>
      </c>
      <c r="L93" t="str">
        <f t="shared" si="7"/>
        <v>20213Tablet</v>
      </c>
    </row>
    <row r="94" spans="1:12" x14ac:dyDescent="0.3">
      <c r="A94" t="s">
        <v>209</v>
      </c>
      <c r="B94" t="s">
        <v>210</v>
      </c>
      <c r="C94" t="s">
        <v>20</v>
      </c>
      <c r="D94" t="s">
        <v>16</v>
      </c>
      <c r="E94" t="s">
        <v>26</v>
      </c>
      <c r="F94">
        <v>52</v>
      </c>
      <c r="G94" t="s">
        <v>17</v>
      </c>
      <c r="H94">
        <v>9981</v>
      </c>
      <c r="I94" t="str">
        <f t="shared" si="4"/>
        <v>HREmp_92</v>
      </c>
      <c r="J94" t="str">
        <f t="shared" si="5"/>
        <v>MaleHRMumbai9981</v>
      </c>
      <c r="K94" t="str">
        <f t="shared" si="6"/>
        <v>52PrinterMumbai</v>
      </c>
      <c r="L94" t="str">
        <f t="shared" si="7"/>
        <v>9981Printer</v>
      </c>
    </row>
    <row r="95" spans="1:12" x14ac:dyDescent="0.3">
      <c r="A95" t="s">
        <v>211</v>
      </c>
      <c r="B95" t="s">
        <v>212</v>
      </c>
      <c r="C95" t="s">
        <v>24</v>
      </c>
      <c r="D95" t="s">
        <v>21</v>
      </c>
      <c r="E95" t="s">
        <v>12</v>
      </c>
      <c r="F95">
        <v>50</v>
      </c>
      <c r="G95" t="s">
        <v>62</v>
      </c>
      <c r="H95">
        <v>27321</v>
      </c>
      <c r="I95" t="str">
        <f t="shared" si="4"/>
        <v>FinanceEmp_93</v>
      </c>
      <c r="J95" t="str">
        <f t="shared" si="5"/>
        <v>FemaleFinanceBangalore27321</v>
      </c>
      <c r="K95" t="str">
        <f t="shared" si="6"/>
        <v>50MobileBangalore</v>
      </c>
      <c r="L95" t="str">
        <f t="shared" si="7"/>
        <v>27321Mobile</v>
      </c>
    </row>
    <row r="96" spans="1:12" x14ac:dyDescent="0.3">
      <c r="A96" t="s">
        <v>213</v>
      </c>
      <c r="B96" t="s">
        <v>214</v>
      </c>
      <c r="C96" t="s">
        <v>44</v>
      </c>
      <c r="D96" t="s">
        <v>21</v>
      </c>
      <c r="E96" t="s">
        <v>12</v>
      </c>
      <c r="F96">
        <v>22</v>
      </c>
      <c r="G96" t="s">
        <v>62</v>
      </c>
      <c r="H96">
        <v>44660</v>
      </c>
      <c r="I96" t="str">
        <f t="shared" si="4"/>
        <v>ITEmp_94</v>
      </c>
      <c r="J96" t="str">
        <f t="shared" si="5"/>
        <v>FemaleITBangalore44660</v>
      </c>
      <c r="K96" t="str">
        <f t="shared" si="6"/>
        <v>22MobileBangalore</v>
      </c>
      <c r="L96" t="str">
        <f t="shared" si="7"/>
        <v>44660Mobile</v>
      </c>
    </row>
    <row r="97" spans="1:12" x14ac:dyDescent="0.3">
      <c r="A97" t="s">
        <v>215</v>
      </c>
      <c r="B97" t="s">
        <v>216</v>
      </c>
      <c r="C97" t="s">
        <v>44</v>
      </c>
      <c r="D97" t="s">
        <v>55</v>
      </c>
      <c r="E97" t="s">
        <v>26</v>
      </c>
      <c r="F97">
        <v>27</v>
      </c>
      <c r="G97" t="s">
        <v>13</v>
      </c>
      <c r="H97">
        <v>45230</v>
      </c>
      <c r="I97" t="str">
        <f t="shared" si="4"/>
        <v>ITEmp_95</v>
      </c>
      <c r="J97" t="str">
        <f t="shared" si="5"/>
        <v>MaleITHyderabad45230</v>
      </c>
      <c r="K97" t="str">
        <f t="shared" si="6"/>
        <v>27MonitorHyderabad</v>
      </c>
      <c r="L97" t="str">
        <f t="shared" si="7"/>
        <v>45230Monitor</v>
      </c>
    </row>
    <row r="98" spans="1:12" x14ac:dyDescent="0.3">
      <c r="A98" t="s">
        <v>217</v>
      </c>
      <c r="B98" t="s">
        <v>218</v>
      </c>
      <c r="C98" t="s">
        <v>44</v>
      </c>
      <c r="D98" t="s">
        <v>55</v>
      </c>
      <c r="E98" t="s">
        <v>26</v>
      </c>
      <c r="F98">
        <v>23</v>
      </c>
      <c r="G98" t="s">
        <v>27</v>
      </c>
      <c r="H98">
        <v>44033</v>
      </c>
      <c r="I98" t="str">
        <f t="shared" si="4"/>
        <v>ITEmp_96</v>
      </c>
      <c r="J98" t="str">
        <f t="shared" si="5"/>
        <v>MaleITHyderabad44033</v>
      </c>
      <c r="K98" t="str">
        <f t="shared" si="6"/>
        <v>23TabletHyderabad</v>
      </c>
      <c r="L98" t="str">
        <f t="shared" si="7"/>
        <v>44033Tablet</v>
      </c>
    </row>
    <row r="99" spans="1:12" x14ac:dyDescent="0.3">
      <c r="A99" t="s">
        <v>219</v>
      </c>
      <c r="B99" t="s">
        <v>220</v>
      </c>
      <c r="C99" t="s">
        <v>24</v>
      </c>
      <c r="D99" t="s">
        <v>25</v>
      </c>
      <c r="E99" t="s">
        <v>12</v>
      </c>
      <c r="F99">
        <v>38</v>
      </c>
      <c r="G99" t="s">
        <v>13</v>
      </c>
      <c r="H99">
        <v>30998</v>
      </c>
      <c r="I99" t="str">
        <f t="shared" si="4"/>
        <v>FinanceEmp_97</v>
      </c>
      <c r="J99" t="str">
        <f t="shared" si="5"/>
        <v>FemaleFinancePune30998</v>
      </c>
      <c r="K99" t="str">
        <f t="shared" si="6"/>
        <v>38MonitorPune</v>
      </c>
      <c r="L99" t="str">
        <f t="shared" si="7"/>
        <v>30998Monitor</v>
      </c>
    </row>
    <row r="100" spans="1:12" x14ac:dyDescent="0.3">
      <c r="A100" t="s">
        <v>221</v>
      </c>
      <c r="B100" t="s">
        <v>222</v>
      </c>
      <c r="C100" t="s">
        <v>20</v>
      </c>
      <c r="D100" t="s">
        <v>25</v>
      </c>
      <c r="E100" t="s">
        <v>12</v>
      </c>
      <c r="F100">
        <v>35</v>
      </c>
      <c r="G100" t="s">
        <v>27</v>
      </c>
      <c r="H100">
        <v>26389</v>
      </c>
      <c r="I100" t="str">
        <f t="shared" si="4"/>
        <v>HREmp_98</v>
      </c>
      <c r="J100" t="str">
        <f t="shared" si="5"/>
        <v>FemaleHRPune26389</v>
      </c>
      <c r="K100" t="str">
        <f t="shared" si="6"/>
        <v>35TabletPune</v>
      </c>
      <c r="L100" t="str">
        <f t="shared" si="7"/>
        <v>26389Tablet</v>
      </c>
    </row>
    <row r="101" spans="1:12" x14ac:dyDescent="0.3">
      <c r="A101" t="s">
        <v>223</v>
      </c>
      <c r="B101" t="s">
        <v>224</v>
      </c>
      <c r="C101" t="s">
        <v>24</v>
      </c>
      <c r="D101" t="s">
        <v>25</v>
      </c>
      <c r="E101" t="s">
        <v>12</v>
      </c>
      <c r="F101">
        <v>31</v>
      </c>
      <c r="G101" t="s">
        <v>62</v>
      </c>
      <c r="H101">
        <v>6941</v>
      </c>
      <c r="I101" t="str">
        <f t="shared" si="4"/>
        <v>FinanceEmp_99</v>
      </c>
      <c r="J101" t="str">
        <f t="shared" si="5"/>
        <v>FemaleFinancePune6941</v>
      </c>
      <c r="K101" t="str">
        <f t="shared" si="6"/>
        <v>31MobilePune</v>
      </c>
      <c r="L101" t="str">
        <f t="shared" si="7"/>
        <v>6941Mobile</v>
      </c>
    </row>
    <row r="102" spans="1:12" x14ac:dyDescent="0.3">
      <c r="A102" t="s">
        <v>225</v>
      </c>
      <c r="B102" t="s">
        <v>226</v>
      </c>
      <c r="C102" t="s">
        <v>24</v>
      </c>
      <c r="D102" t="s">
        <v>11</v>
      </c>
      <c r="E102" t="s">
        <v>12</v>
      </c>
      <c r="F102">
        <v>57</v>
      </c>
      <c r="G102" t="s">
        <v>32</v>
      </c>
      <c r="H102">
        <v>46557</v>
      </c>
      <c r="I102" t="str">
        <f t="shared" si="4"/>
        <v>FinanceEmp_100</v>
      </c>
      <c r="J102" t="str">
        <f t="shared" si="5"/>
        <v>FemaleFinanceDelhi46557</v>
      </c>
      <c r="K102" t="str">
        <f t="shared" si="6"/>
        <v>57LaptopDelhi</v>
      </c>
      <c r="L102" t="str">
        <f t="shared" si="7"/>
        <v>46557Laptop</v>
      </c>
    </row>
    <row r="103" spans="1:12" x14ac:dyDescent="0.3">
      <c r="A103" t="s">
        <v>227</v>
      </c>
      <c r="B103" t="s">
        <v>228</v>
      </c>
      <c r="C103" t="s">
        <v>37</v>
      </c>
      <c r="D103" t="s">
        <v>55</v>
      </c>
      <c r="E103" t="s">
        <v>26</v>
      </c>
      <c r="F103">
        <v>60</v>
      </c>
      <c r="G103" t="s">
        <v>13</v>
      </c>
      <c r="H103">
        <v>22912</v>
      </c>
      <c r="I103" t="str">
        <f t="shared" si="4"/>
        <v>MarketingEmp_101</v>
      </c>
      <c r="J103" t="str">
        <f t="shared" si="5"/>
        <v>MaleMarketingHyderabad22912</v>
      </c>
      <c r="K103" t="str">
        <f t="shared" si="6"/>
        <v>60MonitorHyderabad</v>
      </c>
      <c r="L103" t="str">
        <f t="shared" si="7"/>
        <v>22912Monitor</v>
      </c>
    </row>
    <row r="104" spans="1:12" x14ac:dyDescent="0.3">
      <c r="A104" t="s">
        <v>229</v>
      </c>
      <c r="B104" t="s">
        <v>230</v>
      </c>
      <c r="C104" t="s">
        <v>37</v>
      </c>
      <c r="D104" t="s">
        <v>11</v>
      </c>
      <c r="E104" t="s">
        <v>12</v>
      </c>
      <c r="F104">
        <v>55</v>
      </c>
      <c r="G104" t="s">
        <v>13</v>
      </c>
      <c r="H104">
        <v>34527</v>
      </c>
      <c r="I104" t="str">
        <f t="shared" si="4"/>
        <v>MarketingEmp_102</v>
      </c>
      <c r="J104" t="str">
        <f t="shared" si="5"/>
        <v>FemaleMarketingDelhi34527</v>
      </c>
      <c r="K104" t="str">
        <f t="shared" si="6"/>
        <v>55MonitorDelhi</v>
      </c>
      <c r="L104" t="str">
        <f t="shared" si="7"/>
        <v>34527Monitor</v>
      </c>
    </row>
    <row r="105" spans="1:12" x14ac:dyDescent="0.3">
      <c r="A105" t="s">
        <v>231</v>
      </c>
      <c r="B105" t="s">
        <v>232</v>
      </c>
      <c r="C105" t="s">
        <v>20</v>
      </c>
      <c r="D105" t="s">
        <v>21</v>
      </c>
      <c r="E105" t="s">
        <v>12</v>
      </c>
      <c r="F105">
        <v>49</v>
      </c>
      <c r="G105" t="s">
        <v>62</v>
      </c>
      <c r="H105">
        <v>37152</v>
      </c>
      <c r="I105" t="str">
        <f t="shared" si="4"/>
        <v>HREmp_103</v>
      </c>
      <c r="J105" t="str">
        <f t="shared" si="5"/>
        <v>FemaleHRBangalore37152</v>
      </c>
      <c r="K105" t="str">
        <f t="shared" si="6"/>
        <v>49MobileBangalore</v>
      </c>
      <c r="L105" t="str">
        <f t="shared" si="7"/>
        <v>37152Mobile</v>
      </c>
    </row>
    <row r="106" spans="1:12" x14ac:dyDescent="0.3">
      <c r="A106" t="s">
        <v>233</v>
      </c>
      <c r="B106" t="s">
        <v>234</v>
      </c>
      <c r="C106" t="s">
        <v>37</v>
      </c>
      <c r="D106" t="s">
        <v>55</v>
      </c>
      <c r="E106" t="s">
        <v>26</v>
      </c>
      <c r="F106">
        <v>29</v>
      </c>
      <c r="G106" t="s">
        <v>62</v>
      </c>
      <c r="H106">
        <v>19951</v>
      </c>
      <c r="I106" t="str">
        <f t="shared" si="4"/>
        <v>MarketingEmp_104</v>
      </c>
      <c r="J106" t="str">
        <f t="shared" si="5"/>
        <v>MaleMarketingHyderabad19951</v>
      </c>
      <c r="K106" t="str">
        <f t="shared" si="6"/>
        <v>29MobileHyderabad</v>
      </c>
      <c r="L106" t="str">
        <f t="shared" si="7"/>
        <v>19951Mobile</v>
      </c>
    </row>
    <row r="107" spans="1:12" x14ac:dyDescent="0.3">
      <c r="A107" t="s">
        <v>235</v>
      </c>
      <c r="B107" t="s">
        <v>236</v>
      </c>
      <c r="C107" t="s">
        <v>44</v>
      </c>
      <c r="D107" t="s">
        <v>55</v>
      </c>
      <c r="E107" t="s">
        <v>26</v>
      </c>
      <c r="F107">
        <v>40</v>
      </c>
      <c r="G107" t="s">
        <v>32</v>
      </c>
      <c r="H107">
        <v>28318</v>
      </c>
      <c r="I107" t="str">
        <f t="shared" si="4"/>
        <v>ITEmp_105</v>
      </c>
      <c r="J107" t="str">
        <f t="shared" si="5"/>
        <v>MaleITHyderabad28318</v>
      </c>
      <c r="K107" t="str">
        <f t="shared" si="6"/>
        <v>40LaptopHyderabad</v>
      </c>
      <c r="L107" t="str">
        <f t="shared" si="7"/>
        <v>28318Laptop</v>
      </c>
    </row>
    <row r="108" spans="1:12" x14ac:dyDescent="0.3">
      <c r="A108" t="s">
        <v>237</v>
      </c>
      <c r="B108" t="s">
        <v>238</v>
      </c>
      <c r="C108" t="s">
        <v>37</v>
      </c>
      <c r="D108" t="s">
        <v>16</v>
      </c>
      <c r="E108" t="s">
        <v>12</v>
      </c>
      <c r="F108">
        <v>37</v>
      </c>
      <c r="G108" t="s">
        <v>13</v>
      </c>
      <c r="H108">
        <v>41243</v>
      </c>
      <c r="I108" t="str">
        <f t="shared" si="4"/>
        <v>MarketingEmp_106</v>
      </c>
      <c r="J108" t="str">
        <f t="shared" si="5"/>
        <v>FemaleMarketingMumbai41243</v>
      </c>
      <c r="K108" t="str">
        <f t="shared" si="6"/>
        <v>37MonitorMumbai</v>
      </c>
      <c r="L108" t="str">
        <f t="shared" si="7"/>
        <v>41243Monitor</v>
      </c>
    </row>
    <row r="109" spans="1:12" x14ac:dyDescent="0.3">
      <c r="A109" t="s">
        <v>239</v>
      </c>
      <c r="B109" t="s">
        <v>240</v>
      </c>
      <c r="C109" t="s">
        <v>44</v>
      </c>
      <c r="D109" t="s">
        <v>55</v>
      </c>
      <c r="E109" t="s">
        <v>12</v>
      </c>
      <c r="F109">
        <v>41</v>
      </c>
      <c r="G109" t="s">
        <v>62</v>
      </c>
      <c r="H109">
        <v>29603</v>
      </c>
      <c r="I109" t="str">
        <f t="shared" si="4"/>
        <v>ITEmp_107</v>
      </c>
      <c r="J109" t="str">
        <f t="shared" si="5"/>
        <v>FemaleITHyderabad29603</v>
      </c>
      <c r="K109" t="str">
        <f t="shared" si="6"/>
        <v>41MobileHyderabad</v>
      </c>
      <c r="L109" t="str">
        <f t="shared" si="7"/>
        <v>29603Mobile</v>
      </c>
    </row>
    <row r="110" spans="1:12" x14ac:dyDescent="0.3">
      <c r="A110" t="s">
        <v>241</v>
      </c>
      <c r="B110" t="s">
        <v>242</v>
      </c>
      <c r="C110" t="s">
        <v>20</v>
      </c>
      <c r="D110" t="s">
        <v>21</v>
      </c>
      <c r="E110" t="s">
        <v>26</v>
      </c>
      <c r="F110">
        <v>29</v>
      </c>
      <c r="G110" t="s">
        <v>62</v>
      </c>
      <c r="H110">
        <v>33301</v>
      </c>
      <c r="I110" t="str">
        <f t="shared" si="4"/>
        <v>HREmp_108</v>
      </c>
      <c r="J110" t="str">
        <f t="shared" si="5"/>
        <v>MaleHRBangalore33301</v>
      </c>
      <c r="K110" t="str">
        <f t="shared" si="6"/>
        <v>29MobileBangalore</v>
      </c>
      <c r="L110" t="str">
        <f t="shared" si="7"/>
        <v>33301Mobile</v>
      </c>
    </row>
    <row r="111" spans="1:12" x14ac:dyDescent="0.3">
      <c r="A111" t="s">
        <v>243</v>
      </c>
      <c r="B111" t="s">
        <v>244</v>
      </c>
      <c r="C111" t="s">
        <v>24</v>
      </c>
      <c r="D111" t="s">
        <v>55</v>
      </c>
      <c r="E111" t="s">
        <v>12</v>
      </c>
      <c r="F111">
        <v>25</v>
      </c>
      <c r="G111" t="s">
        <v>32</v>
      </c>
      <c r="H111">
        <v>17172</v>
      </c>
      <c r="I111" t="str">
        <f t="shared" si="4"/>
        <v>FinanceEmp_109</v>
      </c>
      <c r="J111" t="str">
        <f t="shared" si="5"/>
        <v>FemaleFinanceHyderabad17172</v>
      </c>
      <c r="K111" t="str">
        <f t="shared" si="6"/>
        <v>25LaptopHyderabad</v>
      </c>
      <c r="L111" t="str">
        <f t="shared" si="7"/>
        <v>17172Laptop</v>
      </c>
    </row>
    <row r="112" spans="1:12" x14ac:dyDescent="0.3">
      <c r="A112" t="s">
        <v>245</v>
      </c>
      <c r="B112" t="s">
        <v>246</v>
      </c>
      <c r="C112" t="s">
        <v>24</v>
      </c>
      <c r="D112" t="s">
        <v>11</v>
      </c>
      <c r="E112" t="s">
        <v>26</v>
      </c>
      <c r="F112">
        <v>37</v>
      </c>
      <c r="G112" t="s">
        <v>32</v>
      </c>
      <c r="H112">
        <v>49544</v>
      </c>
      <c r="I112" t="str">
        <f t="shared" si="4"/>
        <v>FinanceEmp_110</v>
      </c>
      <c r="J112" t="str">
        <f t="shared" si="5"/>
        <v>MaleFinanceDelhi49544</v>
      </c>
      <c r="K112" t="str">
        <f t="shared" si="6"/>
        <v>37LaptopDelhi</v>
      </c>
      <c r="L112" t="str">
        <f t="shared" si="7"/>
        <v>49544Laptop</v>
      </c>
    </row>
    <row r="113" spans="1:12" x14ac:dyDescent="0.3">
      <c r="A113" t="s">
        <v>247</v>
      </c>
      <c r="B113" t="s">
        <v>248</v>
      </c>
      <c r="C113" t="s">
        <v>37</v>
      </c>
      <c r="D113" t="s">
        <v>55</v>
      </c>
      <c r="E113" t="s">
        <v>26</v>
      </c>
      <c r="F113">
        <v>48</v>
      </c>
      <c r="G113" t="s">
        <v>17</v>
      </c>
      <c r="H113">
        <v>43395</v>
      </c>
      <c r="I113" t="str">
        <f t="shared" si="4"/>
        <v>MarketingEmp_111</v>
      </c>
      <c r="J113" t="str">
        <f t="shared" si="5"/>
        <v>MaleMarketingHyderabad43395</v>
      </c>
      <c r="K113" t="str">
        <f t="shared" si="6"/>
        <v>48PrinterHyderabad</v>
      </c>
      <c r="L113" t="str">
        <f t="shared" si="7"/>
        <v>43395Printer</v>
      </c>
    </row>
    <row r="114" spans="1:12" x14ac:dyDescent="0.3">
      <c r="A114" t="s">
        <v>249</v>
      </c>
      <c r="B114" t="s">
        <v>250</v>
      </c>
      <c r="C114" t="s">
        <v>44</v>
      </c>
      <c r="D114" t="s">
        <v>11</v>
      </c>
      <c r="E114" t="s">
        <v>12</v>
      </c>
      <c r="F114">
        <v>51</v>
      </c>
      <c r="G114" t="s">
        <v>27</v>
      </c>
      <c r="H114">
        <v>48297</v>
      </c>
      <c r="I114" t="str">
        <f t="shared" si="4"/>
        <v>ITEmp_112</v>
      </c>
      <c r="J114" t="str">
        <f t="shared" si="5"/>
        <v>FemaleITDelhi48297</v>
      </c>
      <c r="K114" t="str">
        <f t="shared" si="6"/>
        <v>51TabletDelhi</v>
      </c>
      <c r="L114" t="str">
        <f t="shared" si="7"/>
        <v>48297Tablet</v>
      </c>
    </row>
    <row r="115" spans="1:12" x14ac:dyDescent="0.3">
      <c r="A115" t="s">
        <v>251</v>
      </c>
      <c r="B115" t="s">
        <v>252</v>
      </c>
      <c r="C115" t="s">
        <v>10</v>
      </c>
      <c r="D115" t="s">
        <v>25</v>
      </c>
      <c r="E115" t="s">
        <v>26</v>
      </c>
      <c r="F115">
        <v>26</v>
      </c>
      <c r="G115" t="s">
        <v>17</v>
      </c>
      <c r="H115">
        <v>29908</v>
      </c>
      <c r="I115" t="str">
        <f t="shared" si="4"/>
        <v>SalesEmp_113</v>
      </c>
      <c r="J115" t="str">
        <f t="shared" si="5"/>
        <v>MaleSalesPune29908</v>
      </c>
      <c r="K115" t="str">
        <f t="shared" si="6"/>
        <v>26PrinterPune</v>
      </c>
      <c r="L115" t="str">
        <f t="shared" si="7"/>
        <v>29908Printer</v>
      </c>
    </row>
    <row r="116" spans="1:12" x14ac:dyDescent="0.3">
      <c r="A116" t="s">
        <v>253</v>
      </c>
      <c r="B116" t="s">
        <v>254</v>
      </c>
      <c r="C116" t="s">
        <v>10</v>
      </c>
      <c r="D116" t="s">
        <v>25</v>
      </c>
      <c r="E116" t="s">
        <v>26</v>
      </c>
      <c r="F116">
        <v>29</v>
      </c>
      <c r="G116" t="s">
        <v>32</v>
      </c>
      <c r="H116">
        <v>10616</v>
      </c>
      <c r="I116" t="str">
        <f t="shared" si="4"/>
        <v>SalesEmp_114</v>
      </c>
      <c r="J116" t="str">
        <f t="shared" si="5"/>
        <v>MaleSalesPune10616</v>
      </c>
      <c r="K116" t="str">
        <f t="shared" si="6"/>
        <v>29LaptopPune</v>
      </c>
      <c r="L116" t="str">
        <f t="shared" si="7"/>
        <v>10616Laptop</v>
      </c>
    </row>
    <row r="117" spans="1:12" x14ac:dyDescent="0.3">
      <c r="A117" t="s">
        <v>255</v>
      </c>
      <c r="B117" t="s">
        <v>256</v>
      </c>
      <c r="C117" t="s">
        <v>10</v>
      </c>
      <c r="D117" t="s">
        <v>16</v>
      </c>
      <c r="E117" t="s">
        <v>26</v>
      </c>
      <c r="F117">
        <v>53</v>
      </c>
      <c r="G117" t="s">
        <v>62</v>
      </c>
      <c r="H117">
        <v>45541</v>
      </c>
      <c r="I117" t="str">
        <f t="shared" si="4"/>
        <v>SalesEmp_115</v>
      </c>
      <c r="J117" t="str">
        <f t="shared" si="5"/>
        <v>MaleSalesMumbai45541</v>
      </c>
      <c r="K117" t="str">
        <f t="shared" si="6"/>
        <v>53MobileMumbai</v>
      </c>
      <c r="L117" t="str">
        <f t="shared" si="7"/>
        <v>45541Mobile</v>
      </c>
    </row>
    <row r="118" spans="1:12" x14ac:dyDescent="0.3">
      <c r="A118" t="s">
        <v>257</v>
      </c>
      <c r="B118" t="s">
        <v>258</v>
      </c>
      <c r="C118" t="s">
        <v>24</v>
      </c>
      <c r="D118" t="s">
        <v>55</v>
      </c>
      <c r="E118" t="s">
        <v>12</v>
      </c>
      <c r="F118">
        <v>60</v>
      </c>
      <c r="G118" t="s">
        <v>32</v>
      </c>
      <c r="H118">
        <v>24357</v>
      </c>
      <c r="I118" t="str">
        <f t="shared" si="4"/>
        <v>FinanceEmp_116</v>
      </c>
      <c r="J118" t="str">
        <f t="shared" si="5"/>
        <v>FemaleFinanceHyderabad24357</v>
      </c>
      <c r="K118" t="str">
        <f t="shared" si="6"/>
        <v>60LaptopHyderabad</v>
      </c>
      <c r="L118" t="str">
        <f t="shared" si="7"/>
        <v>24357Laptop</v>
      </c>
    </row>
    <row r="119" spans="1:12" x14ac:dyDescent="0.3">
      <c r="A119" t="s">
        <v>259</v>
      </c>
      <c r="B119" t="s">
        <v>260</v>
      </c>
      <c r="C119" t="s">
        <v>24</v>
      </c>
      <c r="D119" t="s">
        <v>25</v>
      </c>
      <c r="E119" t="s">
        <v>12</v>
      </c>
      <c r="F119">
        <v>56</v>
      </c>
      <c r="G119" t="s">
        <v>13</v>
      </c>
      <c r="H119">
        <v>21151</v>
      </c>
      <c r="I119" t="str">
        <f t="shared" si="4"/>
        <v>FinanceEmp_117</v>
      </c>
      <c r="J119" t="str">
        <f t="shared" si="5"/>
        <v>FemaleFinancePune21151</v>
      </c>
      <c r="K119" t="str">
        <f t="shared" si="6"/>
        <v>56MonitorPune</v>
      </c>
      <c r="L119" t="str">
        <f t="shared" si="7"/>
        <v>21151Monitor</v>
      </c>
    </row>
    <row r="120" spans="1:12" x14ac:dyDescent="0.3">
      <c r="A120" t="s">
        <v>261</v>
      </c>
      <c r="B120" t="s">
        <v>262</v>
      </c>
      <c r="C120" t="s">
        <v>44</v>
      </c>
      <c r="D120" t="s">
        <v>25</v>
      </c>
      <c r="E120" t="s">
        <v>26</v>
      </c>
      <c r="F120">
        <v>23</v>
      </c>
      <c r="G120" t="s">
        <v>62</v>
      </c>
      <c r="H120">
        <v>9817</v>
      </c>
      <c r="I120" t="str">
        <f t="shared" si="4"/>
        <v>ITEmp_118</v>
      </c>
      <c r="J120" t="str">
        <f t="shared" si="5"/>
        <v>MaleITPune9817</v>
      </c>
      <c r="K120" t="str">
        <f t="shared" si="6"/>
        <v>23MobilePune</v>
      </c>
      <c r="L120" t="str">
        <f t="shared" si="7"/>
        <v>9817Mobile</v>
      </c>
    </row>
    <row r="121" spans="1:12" x14ac:dyDescent="0.3">
      <c r="A121" t="s">
        <v>263</v>
      </c>
      <c r="B121" t="s">
        <v>264</v>
      </c>
      <c r="C121" t="s">
        <v>37</v>
      </c>
      <c r="D121" t="s">
        <v>16</v>
      </c>
      <c r="E121" t="s">
        <v>12</v>
      </c>
      <c r="F121">
        <v>54</v>
      </c>
      <c r="G121" t="s">
        <v>17</v>
      </c>
      <c r="H121">
        <v>10376</v>
      </c>
      <c r="I121" t="str">
        <f t="shared" si="4"/>
        <v>MarketingEmp_119</v>
      </c>
      <c r="J121" t="str">
        <f t="shared" si="5"/>
        <v>FemaleMarketingMumbai10376</v>
      </c>
      <c r="K121" t="str">
        <f t="shared" si="6"/>
        <v>54PrinterMumbai</v>
      </c>
      <c r="L121" t="str">
        <f t="shared" si="7"/>
        <v>10376Printer</v>
      </c>
    </row>
    <row r="122" spans="1:12" x14ac:dyDescent="0.3">
      <c r="A122" t="s">
        <v>265</v>
      </c>
      <c r="B122" t="s">
        <v>266</v>
      </c>
      <c r="C122" t="s">
        <v>10</v>
      </c>
      <c r="D122" t="s">
        <v>16</v>
      </c>
      <c r="E122" t="s">
        <v>26</v>
      </c>
      <c r="F122">
        <v>58</v>
      </c>
      <c r="G122" t="s">
        <v>17</v>
      </c>
      <c r="H122">
        <v>22561</v>
      </c>
      <c r="I122" t="str">
        <f t="shared" si="4"/>
        <v>SalesEmp_120</v>
      </c>
      <c r="J122" t="str">
        <f t="shared" si="5"/>
        <v>MaleSalesMumbai22561</v>
      </c>
      <c r="K122" t="str">
        <f t="shared" si="6"/>
        <v>58PrinterMumbai</v>
      </c>
      <c r="L122" t="str">
        <f t="shared" si="7"/>
        <v>22561Printer</v>
      </c>
    </row>
    <row r="123" spans="1:12" x14ac:dyDescent="0.3">
      <c r="A123" t="s">
        <v>267</v>
      </c>
      <c r="B123" t="s">
        <v>268</v>
      </c>
      <c r="C123" t="s">
        <v>44</v>
      </c>
      <c r="D123" t="s">
        <v>55</v>
      </c>
      <c r="E123" t="s">
        <v>26</v>
      </c>
      <c r="F123">
        <v>37</v>
      </c>
      <c r="G123" t="s">
        <v>17</v>
      </c>
      <c r="H123">
        <v>15107</v>
      </c>
      <c r="I123" t="str">
        <f t="shared" si="4"/>
        <v>ITEmp_121</v>
      </c>
      <c r="J123" t="str">
        <f t="shared" si="5"/>
        <v>MaleITHyderabad15107</v>
      </c>
      <c r="K123" t="str">
        <f t="shared" si="6"/>
        <v>37PrinterHyderabad</v>
      </c>
      <c r="L123" t="str">
        <f t="shared" si="7"/>
        <v>15107Printer</v>
      </c>
    </row>
    <row r="124" spans="1:12" x14ac:dyDescent="0.3">
      <c r="A124" t="s">
        <v>269</v>
      </c>
      <c r="B124" t="s">
        <v>270</v>
      </c>
      <c r="C124" t="s">
        <v>44</v>
      </c>
      <c r="D124" t="s">
        <v>11</v>
      </c>
      <c r="E124" t="s">
        <v>12</v>
      </c>
      <c r="F124">
        <v>31</v>
      </c>
      <c r="G124" t="s">
        <v>62</v>
      </c>
      <c r="H124">
        <v>29903</v>
      </c>
      <c r="I124" t="str">
        <f t="shared" si="4"/>
        <v>ITEmp_122</v>
      </c>
      <c r="J124" t="str">
        <f t="shared" si="5"/>
        <v>FemaleITDelhi29903</v>
      </c>
      <c r="K124" t="str">
        <f t="shared" si="6"/>
        <v>31MobileDelhi</v>
      </c>
      <c r="L124" t="str">
        <f t="shared" si="7"/>
        <v>29903Mobile</v>
      </c>
    </row>
    <row r="125" spans="1:12" x14ac:dyDescent="0.3">
      <c r="A125" t="s">
        <v>271</v>
      </c>
      <c r="B125" t="s">
        <v>272</v>
      </c>
      <c r="C125" t="s">
        <v>37</v>
      </c>
      <c r="D125" t="s">
        <v>55</v>
      </c>
      <c r="E125" t="s">
        <v>12</v>
      </c>
      <c r="F125">
        <v>40</v>
      </c>
      <c r="G125" t="s">
        <v>27</v>
      </c>
      <c r="H125">
        <v>46543</v>
      </c>
      <c r="I125" t="str">
        <f t="shared" si="4"/>
        <v>MarketingEmp_123</v>
      </c>
      <c r="J125" t="str">
        <f t="shared" si="5"/>
        <v>FemaleMarketingHyderabad46543</v>
      </c>
      <c r="K125" t="str">
        <f t="shared" si="6"/>
        <v>40TabletHyderabad</v>
      </c>
      <c r="L125" t="str">
        <f t="shared" si="7"/>
        <v>46543Tablet</v>
      </c>
    </row>
    <row r="126" spans="1:12" x14ac:dyDescent="0.3">
      <c r="A126" t="s">
        <v>273</v>
      </c>
      <c r="B126" t="s">
        <v>274</v>
      </c>
      <c r="C126" t="s">
        <v>44</v>
      </c>
      <c r="D126" t="s">
        <v>11</v>
      </c>
      <c r="E126" t="s">
        <v>12</v>
      </c>
      <c r="F126">
        <v>49</v>
      </c>
      <c r="G126" t="s">
        <v>27</v>
      </c>
      <c r="H126">
        <v>15110</v>
      </c>
      <c r="I126" t="str">
        <f t="shared" si="4"/>
        <v>ITEmp_124</v>
      </c>
      <c r="J126" t="str">
        <f t="shared" si="5"/>
        <v>FemaleITDelhi15110</v>
      </c>
      <c r="K126" t="str">
        <f t="shared" si="6"/>
        <v>49TabletDelhi</v>
      </c>
      <c r="L126" t="str">
        <f t="shared" si="7"/>
        <v>15110Tablet</v>
      </c>
    </row>
    <row r="127" spans="1:12" x14ac:dyDescent="0.3">
      <c r="A127" t="s">
        <v>275</v>
      </c>
      <c r="B127" t="s">
        <v>276</v>
      </c>
      <c r="C127" t="s">
        <v>37</v>
      </c>
      <c r="D127" t="s">
        <v>16</v>
      </c>
      <c r="E127" t="s">
        <v>26</v>
      </c>
      <c r="F127">
        <v>22</v>
      </c>
      <c r="G127" t="s">
        <v>27</v>
      </c>
      <c r="H127">
        <v>30534</v>
      </c>
      <c r="I127" t="str">
        <f t="shared" si="4"/>
        <v>MarketingEmp_125</v>
      </c>
      <c r="J127" t="str">
        <f t="shared" si="5"/>
        <v>MaleMarketingMumbai30534</v>
      </c>
      <c r="K127" t="str">
        <f t="shared" si="6"/>
        <v>22TabletMumbai</v>
      </c>
      <c r="L127" t="str">
        <f t="shared" si="7"/>
        <v>30534Tablet</v>
      </c>
    </row>
    <row r="128" spans="1:12" x14ac:dyDescent="0.3">
      <c r="A128" t="s">
        <v>277</v>
      </c>
      <c r="B128" t="s">
        <v>278</v>
      </c>
      <c r="C128" t="s">
        <v>20</v>
      </c>
      <c r="D128" t="s">
        <v>21</v>
      </c>
      <c r="E128" t="s">
        <v>26</v>
      </c>
      <c r="F128">
        <v>44</v>
      </c>
      <c r="G128" t="s">
        <v>32</v>
      </c>
      <c r="H128">
        <v>25753</v>
      </c>
      <c r="I128" t="str">
        <f t="shared" si="4"/>
        <v>HREmp_126</v>
      </c>
      <c r="J128" t="str">
        <f t="shared" si="5"/>
        <v>MaleHRBangalore25753</v>
      </c>
      <c r="K128" t="str">
        <f t="shared" si="6"/>
        <v>44LaptopBangalore</v>
      </c>
      <c r="L128" t="str">
        <f t="shared" si="7"/>
        <v>25753Laptop</v>
      </c>
    </row>
    <row r="129" spans="1:12" x14ac:dyDescent="0.3">
      <c r="A129" t="s">
        <v>279</v>
      </c>
      <c r="B129" t="s">
        <v>280</v>
      </c>
      <c r="C129" t="s">
        <v>37</v>
      </c>
      <c r="D129" t="s">
        <v>55</v>
      </c>
      <c r="E129" t="s">
        <v>26</v>
      </c>
      <c r="F129">
        <v>37</v>
      </c>
      <c r="G129" t="s">
        <v>32</v>
      </c>
      <c r="H129">
        <v>28638</v>
      </c>
      <c r="I129" t="str">
        <f t="shared" si="4"/>
        <v>MarketingEmp_127</v>
      </c>
      <c r="J129" t="str">
        <f t="shared" si="5"/>
        <v>MaleMarketingHyderabad28638</v>
      </c>
      <c r="K129" t="str">
        <f t="shared" si="6"/>
        <v>37LaptopHyderabad</v>
      </c>
      <c r="L129" t="str">
        <f t="shared" si="7"/>
        <v>28638Laptop</v>
      </c>
    </row>
    <row r="130" spans="1:12" x14ac:dyDescent="0.3">
      <c r="A130" t="s">
        <v>281</v>
      </c>
      <c r="B130" t="s">
        <v>282</v>
      </c>
      <c r="C130" t="s">
        <v>10</v>
      </c>
      <c r="D130" t="s">
        <v>21</v>
      </c>
      <c r="E130" t="s">
        <v>12</v>
      </c>
      <c r="F130">
        <v>58</v>
      </c>
      <c r="G130" t="s">
        <v>13</v>
      </c>
      <c r="H130">
        <v>11982</v>
      </c>
      <c r="I130" t="str">
        <f t="shared" si="4"/>
        <v>SalesEmp_128</v>
      </c>
      <c r="J130" t="str">
        <f t="shared" si="5"/>
        <v>FemaleSalesBangalore11982</v>
      </c>
      <c r="K130" t="str">
        <f t="shared" si="6"/>
        <v>58MonitorBangalore</v>
      </c>
      <c r="L130" t="str">
        <f t="shared" si="7"/>
        <v>11982Monitor</v>
      </c>
    </row>
    <row r="131" spans="1:12" x14ac:dyDescent="0.3">
      <c r="A131" t="s">
        <v>283</v>
      </c>
      <c r="B131" t="s">
        <v>284</v>
      </c>
      <c r="C131" t="s">
        <v>10</v>
      </c>
      <c r="D131" t="s">
        <v>11</v>
      </c>
      <c r="E131" t="s">
        <v>12</v>
      </c>
      <c r="F131">
        <v>48</v>
      </c>
      <c r="G131" t="s">
        <v>62</v>
      </c>
      <c r="H131">
        <v>10997</v>
      </c>
      <c r="I131" t="str">
        <f t="shared" ref="I131:I194" si="8">_xlfn.CONCAT(C131,B131)</f>
        <v>SalesEmp_129</v>
      </c>
      <c r="J131" t="str">
        <f t="shared" ref="J131:J194" si="9">_xlfn.CONCAT(E131,C131,D131,H131)</f>
        <v>FemaleSalesDelhi10997</v>
      </c>
      <c r="K131" t="str">
        <f t="shared" ref="K131:K194" si="10">_xlfn.CONCAT(F131,G131,D131)</f>
        <v>48MobileDelhi</v>
      </c>
      <c r="L131" t="str">
        <f t="shared" ref="L131:L194" si="11">_xlfn.CONCAT(H131,G131)</f>
        <v>10997Mobile</v>
      </c>
    </row>
    <row r="132" spans="1:12" x14ac:dyDescent="0.3">
      <c r="A132" t="s">
        <v>285</v>
      </c>
      <c r="B132" t="s">
        <v>286</v>
      </c>
      <c r="C132" t="s">
        <v>37</v>
      </c>
      <c r="D132" t="s">
        <v>55</v>
      </c>
      <c r="E132" t="s">
        <v>26</v>
      </c>
      <c r="F132">
        <v>33</v>
      </c>
      <c r="G132" t="s">
        <v>13</v>
      </c>
      <c r="H132">
        <v>5340</v>
      </c>
      <c r="I132" t="str">
        <f t="shared" si="8"/>
        <v>MarketingEmp_130</v>
      </c>
      <c r="J132" t="str">
        <f t="shared" si="9"/>
        <v>MaleMarketingHyderabad5340</v>
      </c>
      <c r="K132" t="str">
        <f t="shared" si="10"/>
        <v>33MonitorHyderabad</v>
      </c>
      <c r="L132" t="str">
        <f t="shared" si="11"/>
        <v>5340Monitor</v>
      </c>
    </row>
    <row r="133" spans="1:12" x14ac:dyDescent="0.3">
      <c r="A133" t="s">
        <v>287</v>
      </c>
      <c r="B133" t="s">
        <v>288</v>
      </c>
      <c r="C133" t="s">
        <v>20</v>
      </c>
      <c r="D133" t="s">
        <v>21</v>
      </c>
      <c r="E133" t="s">
        <v>12</v>
      </c>
      <c r="F133">
        <v>27</v>
      </c>
      <c r="G133" t="s">
        <v>32</v>
      </c>
      <c r="H133">
        <v>25202</v>
      </c>
      <c r="I133" t="str">
        <f t="shared" si="8"/>
        <v>HREmp_131</v>
      </c>
      <c r="J133" t="str">
        <f t="shared" si="9"/>
        <v>FemaleHRBangalore25202</v>
      </c>
      <c r="K133" t="str">
        <f t="shared" si="10"/>
        <v>27LaptopBangalore</v>
      </c>
      <c r="L133" t="str">
        <f t="shared" si="11"/>
        <v>25202Laptop</v>
      </c>
    </row>
    <row r="134" spans="1:12" x14ac:dyDescent="0.3">
      <c r="A134" t="s">
        <v>289</v>
      </c>
      <c r="B134" t="s">
        <v>290</v>
      </c>
      <c r="C134" t="s">
        <v>20</v>
      </c>
      <c r="D134" t="s">
        <v>21</v>
      </c>
      <c r="E134" t="s">
        <v>12</v>
      </c>
      <c r="F134">
        <v>55</v>
      </c>
      <c r="G134" t="s">
        <v>62</v>
      </c>
      <c r="H134">
        <v>34146</v>
      </c>
      <c r="I134" t="str">
        <f t="shared" si="8"/>
        <v>HREmp_132</v>
      </c>
      <c r="J134" t="str">
        <f t="shared" si="9"/>
        <v>FemaleHRBangalore34146</v>
      </c>
      <c r="K134" t="str">
        <f t="shared" si="10"/>
        <v>55MobileBangalore</v>
      </c>
      <c r="L134" t="str">
        <f t="shared" si="11"/>
        <v>34146Mobile</v>
      </c>
    </row>
    <row r="135" spans="1:12" x14ac:dyDescent="0.3">
      <c r="A135" t="s">
        <v>291</v>
      </c>
      <c r="B135" t="s">
        <v>292</v>
      </c>
      <c r="C135" t="s">
        <v>10</v>
      </c>
      <c r="D135" t="s">
        <v>55</v>
      </c>
      <c r="E135" t="s">
        <v>12</v>
      </c>
      <c r="F135">
        <v>45</v>
      </c>
      <c r="G135" t="s">
        <v>17</v>
      </c>
      <c r="H135">
        <v>28587</v>
      </c>
      <c r="I135" t="str">
        <f t="shared" si="8"/>
        <v>SalesEmp_133</v>
      </c>
      <c r="J135" t="str">
        <f t="shared" si="9"/>
        <v>FemaleSalesHyderabad28587</v>
      </c>
      <c r="K135" t="str">
        <f t="shared" si="10"/>
        <v>45PrinterHyderabad</v>
      </c>
      <c r="L135" t="str">
        <f t="shared" si="11"/>
        <v>28587Printer</v>
      </c>
    </row>
    <row r="136" spans="1:12" x14ac:dyDescent="0.3">
      <c r="A136" t="s">
        <v>293</v>
      </c>
      <c r="B136" t="s">
        <v>294</v>
      </c>
      <c r="C136" t="s">
        <v>20</v>
      </c>
      <c r="D136" t="s">
        <v>21</v>
      </c>
      <c r="E136" t="s">
        <v>12</v>
      </c>
      <c r="F136">
        <v>26</v>
      </c>
      <c r="G136" t="s">
        <v>62</v>
      </c>
      <c r="H136">
        <v>22679</v>
      </c>
      <c r="I136" t="str">
        <f t="shared" si="8"/>
        <v>HREmp_134</v>
      </c>
      <c r="J136" t="str">
        <f t="shared" si="9"/>
        <v>FemaleHRBangalore22679</v>
      </c>
      <c r="K136" t="str">
        <f t="shared" si="10"/>
        <v>26MobileBangalore</v>
      </c>
      <c r="L136" t="str">
        <f t="shared" si="11"/>
        <v>22679Mobile</v>
      </c>
    </row>
    <row r="137" spans="1:12" x14ac:dyDescent="0.3">
      <c r="A137" t="s">
        <v>295</v>
      </c>
      <c r="B137" t="s">
        <v>296</v>
      </c>
      <c r="C137" t="s">
        <v>44</v>
      </c>
      <c r="D137" t="s">
        <v>55</v>
      </c>
      <c r="E137" t="s">
        <v>26</v>
      </c>
      <c r="F137">
        <v>55</v>
      </c>
      <c r="G137" t="s">
        <v>32</v>
      </c>
      <c r="H137">
        <v>11699</v>
      </c>
      <c r="I137" t="str">
        <f t="shared" si="8"/>
        <v>ITEmp_135</v>
      </c>
      <c r="J137" t="str">
        <f t="shared" si="9"/>
        <v>MaleITHyderabad11699</v>
      </c>
      <c r="K137" t="str">
        <f t="shared" si="10"/>
        <v>55LaptopHyderabad</v>
      </c>
      <c r="L137" t="str">
        <f t="shared" si="11"/>
        <v>11699Laptop</v>
      </c>
    </row>
    <row r="138" spans="1:12" x14ac:dyDescent="0.3">
      <c r="A138" t="s">
        <v>297</v>
      </c>
      <c r="B138" t="s">
        <v>298</v>
      </c>
      <c r="C138" t="s">
        <v>24</v>
      </c>
      <c r="D138" t="s">
        <v>21</v>
      </c>
      <c r="E138" t="s">
        <v>12</v>
      </c>
      <c r="F138">
        <v>56</v>
      </c>
      <c r="G138" t="s">
        <v>17</v>
      </c>
      <c r="H138">
        <v>13683</v>
      </c>
      <c r="I138" t="str">
        <f t="shared" si="8"/>
        <v>FinanceEmp_136</v>
      </c>
      <c r="J138" t="str">
        <f t="shared" si="9"/>
        <v>FemaleFinanceBangalore13683</v>
      </c>
      <c r="K138" t="str">
        <f t="shared" si="10"/>
        <v>56PrinterBangalore</v>
      </c>
      <c r="L138" t="str">
        <f t="shared" si="11"/>
        <v>13683Printer</v>
      </c>
    </row>
    <row r="139" spans="1:12" x14ac:dyDescent="0.3">
      <c r="A139" t="s">
        <v>299</v>
      </c>
      <c r="B139" t="s">
        <v>300</v>
      </c>
      <c r="C139" t="s">
        <v>44</v>
      </c>
      <c r="D139" t="s">
        <v>16</v>
      </c>
      <c r="E139" t="s">
        <v>26</v>
      </c>
      <c r="F139">
        <v>54</v>
      </c>
      <c r="G139" t="s">
        <v>17</v>
      </c>
      <c r="H139">
        <v>10721</v>
      </c>
      <c r="I139" t="str">
        <f t="shared" si="8"/>
        <v>ITEmp_137</v>
      </c>
      <c r="J139" t="str">
        <f t="shared" si="9"/>
        <v>MaleITMumbai10721</v>
      </c>
      <c r="K139" t="str">
        <f t="shared" si="10"/>
        <v>54PrinterMumbai</v>
      </c>
      <c r="L139" t="str">
        <f t="shared" si="11"/>
        <v>10721Printer</v>
      </c>
    </row>
    <row r="140" spans="1:12" x14ac:dyDescent="0.3">
      <c r="A140" t="s">
        <v>301</v>
      </c>
      <c r="B140" t="s">
        <v>302</v>
      </c>
      <c r="C140" t="s">
        <v>10</v>
      </c>
      <c r="D140" t="s">
        <v>55</v>
      </c>
      <c r="E140" t="s">
        <v>26</v>
      </c>
      <c r="F140">
        <v>54</v>
      </c>
      <c r="G140" t="s">
        <v>62</v>
      </c>
      <c r="H140">
        <v>17280</v>
      </c>
      <c r="I140" t="str">
        <f t="shared" si="8"/>
        <v>SalesEmp_138</v>
      </c>
      <c r="J140" t="str">
        <f t="shared" si="9"/>
        <v>MaleSalesHyderabad17280</v>
      </c>
      <c r="K140" t="str">
        <f t="shared" si="10"/>
        <v>54MobileHyderabad</v>
      </c>
      <c r="L140" t="str">
        <f t="shared" si="11"/>
        <v>17280Mobile</v>
      </c>
    </row>
    <row r="141" spans="1:12" x14ac:dyDescent="0.3">
      <c r="A141" t="s">
        <v>303</v>
      </c>
      <c r="B141" t="s">
        <v>304</v>
      </c>
      <c r="C141" t="s">
        <v>20</v>
      </c>
      <c r="D141" t="s">
        <v>16</v>
      </c>
      <c r="E141" t="s">
        <v>26</v>
      </c>
      <c r="F141">
        <v>57</v>
      </c>
      <c r="G141" t="s">
        <v>27</v>
      </c>
      <c r="H141">
        <v>33244</v>
      </c>
      <c r="I141" t="str">
        <f t="shared" si="8"/>
        <v>HREmp_139</v>
      </c>
      <c r="J141" t="str">
        <f t="shared" si="9"/>
        <v>MaleHRMumbai33244</v>
      </c>
      <c r="K141" t="str">
        <f t="shared" si="10"/>
        <v>57TabletMumbai</v>
      </c>
      <c r="L141" t="str">
        <f t="shared" si="11"/>
        <v>33244Tablet</v>
      </c>
    </row>
    <row r="142" spans="1:12" x14ac:dyDescent="0.3">
      <c r="A142" t="s">
        <v>305</v>
      </c>
      <c r="B142" t="s">
        <v>306</v>
      </c>
      <c r="C142" t="s">
        <v>37</v>
      </c>
      <c r="D142" t="s">
        <v>25</v>
      </c>
      <c r="E142" t="s">
        <v>12</v>
      </c>
      <c r="F142">
        <v>23</v>
      </c>
      <c r="G142" t="s">
        <v>32</v>
      </c>
      <c r="H142">
        <v>34415</v>
      </c>
      <c r="I142" t="str">
        <f t="shared" si="8"/>
        <v>MarketingEmp_140</v>
      </c>
      <c r="J142" t="str">
        <f t="shared" si="9"/>
        <v>FemaleMarketingPune34415</v>
      </c>
      <c r="K142" t="str">
        <f t="shared" si="10"/>
        <v>23LaptopPune</v>
      </c>
      <c r="L142" t="str">
        <f t="shared" si="11"/>
        <v>34415Laptop</v>
      </c>
    </row>
    <row r="143" spans="1:12" x14ac:dyDescent="0.3">
      <c r="A143" t="s">
        <v>307</v>
      </c>
      <c r="B143" t="s">
        <v>308</v>
      </c>
      <c r="C143" t="s">
        <v>24</v>
      </c>
      <c r="D143" t="s">
        <v>16</v>
      </c>
      <c r="E143" t="s">
        <v>12</v>
      </c>
      <c r="F143">
        <v>46</v>
      </c>
      <c r="G143" t="s">
        <v>32</v>
      </c>
      <c r="H143">
        <v>41502</v>
      </c>
      <c r="I143" t="str">
        <f t="shared" si="8"/>
        <v>FinanceEmp_141</v>
      </c>
      <c r="J143" t="str">
        <f t="shared" si="9"/>
        <v>FemaleFinanceMumbai41502</v>
      </c>
      <c r="K143" t="str">
        <f t="shared" si="10"/>
        <v>46LaptopMumbai</v>
      </c>
      <c r="L143" t="str">
        <f t="shared" si="11"/>
        <v>41502Laptop</v>
      </c>
    </row>
    <row r="144" spans="1:12" x14ac:dyDescent="0.3">
      <c r="A144" t="s">
        <v>309</v>
      </c>
      <c r="B144" t="s">
        <v>310</v>
      </c>
      <c r="C144" t="s">
        <v>37</v>
      </c>
      <c r="D144" t="s">
        <v>21</v>
      </c>
      <c r="E144" t="s">
        <v>26</v>
      </c>
      <c r="F144">
        <v>52</v>
      </c>
      <c r="G144" t="s">
        <v>27</v>
      </c>
      <c r="H144">
        <v>41355</v>
      </c>
      <c r="I144" t="str">
        <f t="shared" si="8"/>
        <v>MarketingEmp_142</v>
      </c>
      <c r="J144" t="str">
        <f t="shared" si="9"/>
        <v>MaleMarketingBangalore41355</v>
      </c>
      <c r="K144" t="str">
        <f t="shared" si="10"/>
        <v>52TabletBangalore</v>
      </c>
      <c r="L144" t="str">
        <f t="shared" si="11"/>
        <v>41355Tablet</v>
      </c>
    </row>
    <row r="145" spans="1:12" x14ac:dyDescent="0.3">
      <c r="A145" t="s">
        <v>311</v>
      </c>
      <c r="B145" t="s">
        <v>312</v>
      </c>
      <c r="C145" t="s">
        <v>10</v>
      </c>
      <c r="D145" t="s">
        <v>11</v>
      </c>
      <c r="E145" t="s">
        <v>12</v>
      </c>
      <c r="F145">
        <v>24</v>
      </c>
      <c r="G145" t="s">
        <v>13</v>
      </c>
      <c r="H145">
        <v>38583</v>
      </c>
      <c r="I145" t="str">
        <f t="shared" si="8"/>
        <v>SalesEmp_143</v>
      </c>
      <c r="J145" t="str">
        <f t="shared" si="9"/>
        <v>FemaleSalesDelhi38583</v>
      </c>
      <c r="K145" t="str">
        <f t="shared" si="10"/>
        <v>24MonitorDelhi</v>
      </c>
      <c r="L145" t="str">
        <f t="shared" si="11"/>
        <v>38583Monitor</v>
      </c>
    </row>
    <row r="146" spans="1:12" x14ac:dyDescent="0.3">
      <c r="A146" t="s">
        <v>313</v>
      </c>
      <c r="B146" t="s">
        <v>314</v>
      </c>
      <c r="C146" t="s">
        <v>20</v>
      </c>
      <c r="D146" t="s">
        <v>16</v>
      </c>
      <c r="E146" t="s">
        <v>26</v>
      </c>
      <c r="F146">
        <v>46</v>
      </c>
      <c r="G146" t="s">
        <v>13</v>
      </c>
      <c r="H146">
        <v>31741</v>
      </c>
      <c r="I146" t="str">
        <f t="shared" si="8"/>
        <v>HREmp_144</v>
      </c>
      <c r="J146" t="str">
        <f t="shared" si="9"/>
        <v>MaleHRMumbai31741</v>
      </c>
      <c r="K146" t="str">
        <f t="shared" si="10"/>
        <v>46MonitorMumbai</v>
      </c>
      <c r="L146" t="str">
        <f t="shared" si="11"/>
        <v>31741Monitor</v>
      </c>
    </row>
    <row r="147" spans="1:12" x14ac:dyDescent="0.3">
      <c r="A147" t="s">
        <v>315</v>
      </c>
      <c r="B147" t="s">
        <v>316</v>
      </c>
      <c r="C147" t="s">
        <v>37</v>
      </c>
      <c r="D147" t="s">
        <v>16</v>
      </c>
      <c r="E147" t="s">
        <v>12</v>
      </c>
      <c r="F147">
        <v>45</v>
      </c>
      <c r="G147" t="s">
        <v>32</v>
      </c>
      <c r="H147">
        <v>11769</v>
      </c>
      <c r="I147" t="str">
        <f t="shared" si="8"/>
        <v>MarketingEmp_145</v>
      </c>
      <c r="J147" t="str">
        <f t="shared" si="9"/>
        <v>FemaleMarketingMumbai11769</v>
      </c>
      <c r="K147" t="str">
        <f t="shared" si="10"/>
        <v>45LaptopMumbai</v>
      </c>
      <c r="L147" t="str">
        <f t="shared" si="11"/>
        <v>11769Laptop</v>
      </c>
    </row>
    <row r="148" spans="1:12" x14ac:dyDescent="0.3">
      <c r="A148" t="s">
        <v>317</v>
      </c>
      <c r="B148" t="s">
        <v>318</v>
      </c>
      <c r="C148" t="s">
        <v>37</v>
      </c>
      <c r="D148" t="s">
        <v>16</v>
      </c>
      <c r="E148" t="s">
        <v>26</v>
      </c>
      <c r="F148">
        <v>38</v>
      </c>
      <c r="G148" t="s">
        <v>27</v>
      </c>
      <c r="H148">
        <v>6721</v>
      </c>
      <c r="I148" t="str">
        <f t="shared" si="8"/>
        <v>MarketingEmp_146</v>
      </c>
      <c r="J148" t="str">
        <f t="shared" si="9"/>
        <v>MaleMarketingMumbai6721</v>
      </c>
      <c r="K148" t="str">
        <f t="shared" si="10"/>
        <v>38TabletMumbai</v>
      </c>
      <c r="L148" t="str">
        <f t="shared" si="11"/>
        <v>6721Tablet</v>
      </c>
    </row>
    <row r="149" spans="1:12" x14ac:dyDescent="0.3">
      <c r="A149" t="s">
        <v>319</v>
      </c>
      <c r="B149" t="s">
        <v>320</v>
      </c>
      <c r="C149" t="s">
        <v>24</v>
      </c>
      <c r="D149" t="s">
        <v>11</v>
      </c>
      <c r="E149" t="s">
        <v>12</v>
      </c>
      <c r="F149">
        <v>23</v>
      </c>
      <c r="G149" t="s">
        <v>27</v>
      </c>
      <c r="H149">
        <v>10873</v>
      </c>
      <c r="I149" t="str">
        <f t="shared" si="8"/>
        <v>FinanceEmp_147</v>
      </c>
      <c r="J149" t="str">
        <f t="shared" si="9"/>
        <v>FemaleFinanceDelhi10873</v>
      </c>
      <c r="K149" t="str">
        <f t="shared" si="10"/>
        <v>23TabletDelhi</v>
      </c>
      <c r="L149" t="str">
        <f t="shared" si="11"/>
        <v>10873Tablet</v>
      </c>
    </row>
    <row r="150" spans="1:12" x14ac:dyDescent="0.3">
      <c r="A150" t="s">
        <v>321</v>
      </c>
      <c r="B150" t="s">
        <v>322</v>
      </c>
      <c r="C150" t="s">
        <v>24</v>
      </c>
      <c r="D150" t="s">
        <v>11</v>
      </c>
      <c r="E150" t="s">
        <v>12</v>
      </c>
      <c r="F150">
        <v>44</v>
      </c>
      <c r="G150" t="s">
        <v>17</v>
      </c>
      <c r="H150">
        <v>28194</v>
      </c>
      <c r="I150" t="str">
        <f t="shared" si="8"/>
        <v>FinanceEmp_148</v>
      </c>
      <c r="J150" t="str">
        <f t="shared" si="9"/>
        <v>FemaleFinanceDelhi28194</v>
      </c>
      <c r="K150" t="str">
        <f t="shared" si="10"/>
        <v>44PrinterDelhi</v>
      </c>
      <c r="L150" t="str">
        <f t="shared" si="11"/>
        <v>28194Printer</v>
      </c>
    </row>
    <row r="151" spans="1:12" x14ac:dyDescent="0.3">
      <c r="A151" t="s">
        <v>323</v>
      </c>
      <c r="B151" t="s">
        <v>324</v>
      </c>
      <c r="C151" t="s">
        <v>20</v>
      </c>
      <c r="D151" t="s">
        <v>16</v>
      </c>
      <c r="E151" t="s">
        <v>12</v>
      </c>
      <c r="F151">
        <v>26</v>
      </c>
      <c r="G151" t="s">
        <v>13</v>
      </c>
      <c r="H151">
        <v>41321</v>
      </c>
      <c r="I151" t="str">
        <f t="shared" si="8"/>
        <v>HREmp_149</v>
      </c>
      <c r="J151" t="str">
        <f t="shared" si="9"/>
        <v>FemaleHRMumbai41321</v>
      </c>
      <c r="K151" t="str">
        <f t="shared" si="10"/>
        <v>26MonitorMumbai</v>
      </c>
      <c r="L151" t="str">
        <f t="shared" si="11"/>
        <v>41321Monitor</v>
      </c>
    </row>
    <row r="152" spans="1:12" x14ac:dyDescent="0.3">
      <c r="A152" t="s">
        <v>325</v>
      </c>
      <c r="B152" t="s">
        <v>326</v>
      </c>
      <c r="C152" t="s">
        <v>24</v>
      </c>
      <c r="D152" t="s">
        <v>25</v>
      </c>
      <c r="E152" t="s">
        <v>12</v>
      </c>
      <c r="F152">
        <v>44</v>
      </c>
      <c r="G152" t="s">
        <v>13</v>
      </c>
      <c r="H152">
        <v>11099</v>
      </c>
      <c r="I152" t="str">
        <f t="shared" si="8"/>
        <v>FinanceEmp_150</v>
      </c>
      <c r="J152" t="str">
        <f t="shared" si="9"/>
        <v>FemaleFinancePune11099</v>
      </c>
      <c r="K152" t="str">
        <f t="shared" si="10"/>
        <v>44MonitorPune</v>
      </c>
      <c r="L152" t="str">
        <f t="shared" si="11"/>
        <v>11099Monitor</v>
      </c>
    </row>
    <row r="153" spans="1:12" x14ac:dyDescent="0.3">
      <c r="A153" t="s">
        <v>327</v>
      </c>
      <c r="B153" t="s">
        <v>328</v>
      </c>
      <c r="C153" t="s">
        <v>37</v>
      </c>
      <c r="D153" t="s">
        <v>11</v>
      </c>
      <c r="E153" t="s">
        <v>12</v>
      </c>
      <c r="F153">
        <v>37</v>
      </c>
      <c r="G153" t="s">
        <v>17</v>
      </c>
      <c r="H153">
        <v>44120</v>
      </c>
      <c r="I153" t="str">
        <f t="shared" si="8"/>
        <v>MarketingEmp_151</v>
      </c>
      <c r="J153" t="str">
        <f t="shared" si="9"/>
        <v>FemaleMarketingDelhi44120</v>
      </c>
      <c r="K153" t="str">
        <f t="shared" si="10"/>
        <v>37PrinterDelhi</v>
      </c>
      <c r="L153" t="str">
        <f t="shared" si="11"/>
        <v>44120Printer</v>
      </c>
    </row>
    <row r="154" spans="1:12" x14ac:dyDescent="0.3">
      <c r="A154" t="s">
        <v>329</v>
      </c>
      <c r="B154" t="s">
        <v>330</v>
      </c>
      <c r="C154" t="s">
        <v>37</v>
      </c>
      <c r="D154" t="s">
        <v>11</v>
      </c>
      <c r="E154" t="s">
        <v>26</v>
      </c>
      <c r="F154">
        <v>28</v>
      </c>
      <c r="G154" t="s">
        <v>62</v>
      </c>
      <c r="H154">
        <v>44193</v>
      </c>
      <c r="I154" t="str">
        <f t="shared" si="8"/>
        <v>MarketingEmp_152</v>
      </c>
      <c r="J154" t="str">
        <f t="shared" si="9"/>
        <v>MaleMarketingDelhi44193</v>
      </c>
      <c r="K154" t="str">
        <f t="shared" si="10"/>
        <v>28MobileDelhi</v>
      </c>
      <c r="L154" t="str">
        <f t="shared" si="11"/>
        <v>44193Mobile</v>
      </c>
    </row>
    <row r="155" spans="1:12" x14ac:dyDescent="0.3">
      <c r="A155" t="s">
        <v>331</v>
      </c>
      <c r="B155" t="s">
        <v>332</v>
      </c>
      <c r="C155" t="s">
        <v>10</v>
      </c>
      <c r="D155" t="s">
        <v>11</v>
      </c>
      <c r="E155" t="s">
        <v>26</v>
      </c>
      <c r="F155">
        <v>59</v>
      </c>
      <c r="G155" t="s">
        <v>13</v>
      </c>
      <c r="H155">
        <v>26261</v>
      </c>
      <c r="I155" t="str">
        <f t="shared" si="8"/>
        <v>SalesEmp_153</v>
      </c>
      <c r="J155" t="str">
        <f t="shared" si="9"/>
        <v>MaleSalesDelhi26261</v>
      </c>
      <c r="K155" t="str">
        <f t="shared" si="10"/>
        <v>59MonitorDelhi</v>
      </c>
      <c r="L155" t="str">
        <f t="shared" si="11"/>
        <v>26261Monitor</v>
      </c>
    </row>
    <row r="156" spans="1:12" x14ac:dyDescent="0.3">
      <c r="A156" t="s">
        <v>333</v>
      </c>
      <c r="B156" t="s">
        <v>334</v>
      </c>
      <c r="C156" t="s">
        <v>37</v>
      </c>
      <c r="D156" t="s">
        <v>55</v>
      </c>
      <c r="E156" t="s">
        <v>12</v>
      </c>
      <c r="F156">
        <v>43</v>
      </c>
      <c r="G156" t="s">
        <v>17</v>
      </c>
      <c r="H156">
        <v>30246</v>
      </c>
      <c r="I156" t="str">
        <f t="shared" si="8"/>
        <v>MarketingEmp_154</v>
      </c>
      <c r="J156" t="str">
        <f t="shared" si="9"/>
        <v>FemaleMarketingHyderabad30246</v>
      </c>
      <c r="K156" t="str">
        <f t="shared" si="10"/>
        <v>43PrinterHyderabad</v>
      </c>
      <c r="L156" t="str">
        <f t="shared" si="11"/>
        <v>30246Printer</v>
      </c>
    </row>
    <row r="157" spans="1:12" x14ac:dyDescent="0.3">
      <c r="A157" t="s">
        <v>335</v>
      </c>
      <c r="B157" t="s">
        <v>336</v>
      </c>
      <c r="C157" t="s">
        <v>20</v>
      </c>
      <c r="D157" t="s">
        <v>16</v>
      </c>
      <c r="E157" t="s">
        <v>26</v>
      </c>
      <c r="F157">
        <v>30</v>
      </c>
      <c r="G157" t="s">
        <v>27</v>
      </c>
      <c r="H157">
        <v>5808</v>
      </c>
      <c r="I157" t="str">
        <f t="shared" si="8"/>
        <v>HREmp_155</v>
      </c>
      <c r="J157" t="str">
        <f t="shared" si="9"/>
        <v>MaleHRMumbai5808</v>
      </c>
      <c r="K157" t="str">
        <f t="shared" si="10"/>
        <v>30TabletMumbai</v>
      </c>
      <c r="L157" t="str">
        <f t="shared" si="11"/>
        <v>5808Tablet</v>
      </c>
    </row>
    <row r="158" spans="1:12" x14ac:dyDescent="0.3">
      <c r="A158" t="s">
        <v>337</v>
      </c>
      <c r="B158" t="s">
        <v>338</v>
      </c>
      <c r="C158" t="s">
        <v>44</v>
      </c>
      <c r="D158" t="s">
        <v>25</v>
      </c>
      <c r="E158" t="s">
        <v>12</v>
      </c>
      <c r="F158">
        <v>24</v>
      </c>
      <c r="G158" t="s">
        <v>62</v>
      </c>
      <c r="H158">
        <v>24126</v>
      </c>
      <c r="I158" t="str">
        <f t="shared" si="8"/>
        <v>ITEmp_156</v>
      </c>
      <c r="J158" t="str">
        <f t="shared" si="9"/>
        <v>FemaleITPune24126</v>
      </c>
      <c r="K158" t="str">
        <f t="shared" si="10"/>
        <v>24MobilePune</v>
      </c>
      <c r="L158" t="str">
        <f t="shared" si="11"/>
        <v>24126Mobile</v>
      </c>
    </row>
    <row r="159" spans="1:12" x14ac:dyDescent="0.3">
      <c r="A159" t="s">
        <v>339</v>
      </c>
      <c r="B159" t="s">
        <v>340</v>
      </c>
      <c r="C159" t="s">
        <v>10</v>
      </c>
      <c r="D159" t="s">
        <v>11</v>
      </c>
      <c r="E159" t="s">
        <v>26</v>
      </c>
      <c r="F159">
        <v>44</v>
      </c>
      <c r="G159" t="s">
        <v>32</v>
      </c>
      <c r="H159">
        <v>32119</v>
      </c>
      <c r="I159" t="str">
        <f t="shared" si="8"/>
        <v>SalesEmp_157</v>
      </c>
      <c r="J159" t="str">
        <f t="shared" si="9"/>
        <v>MaleSalesDelhi32119</v>
      </c>
      <c r="K159" t="str">
        <f t="shared" si="10"/>
        <v>44LaptopDelhi</v>
      </c>
      <c r="L159" t="str">
        <f t="shared" si="11"/>
        <v>32119Laptop</v>
      </c>
    </row>
    <row r="160" spans="1:12" x14ac:dyDescent="0.3">
      <c r="A160" t="s">
        <v>341</v>
      </c>
      <c r="B160" t="s">
        <v>342</v>
      </c>
      <c r="C160" t="s">
        <v>10</v>
      </c>
      <c r="D160" t="s">
        <v>55</v>
      </c>
      <c r="E160" t="s">
        <v>26</v>
      </c>
      <c r="F160">
        <v>56</v>
      </c>
      <c r="G160" t="s">
        <v>27</v>
      </c>
      <c r="H160">
        <v>30414</v>
      </c>
      <c r="I160" t="str">
        <f t="shared" si="8"/>
        <v>SalesEmp_158</v>
      </c>
      <c r="J160" t="str">
        <f t="shared" si="9"/>
        <v>MaleSalesHyderabad30414</v>
      </c>
      <c r="K160" t="str">
        <f t="shared" si="10"/>
        <v>56TabletHyderabad</v>
      </c>
      <c r="L160" t="str">
        <f t="shared" si="11"/>
        <v>30414Tablet</v>
      </c>
    </row>
    <row r="161" spans="1:12" x14ac:dyDescent="0.3">
      <c r="A161" t="s">
        <v>343</v>
      </c>
      <c r="B161" t="s">
        <v>344</v>
      </c>
      <c r="C161" t="s">
        <v>20</v>
      </c>
      <c r="D161" t="s">
        <v>21</v>
      </c>
      <c r="E161" t="s">
        <v>12</v>
      </c>
      <c r="F161">
        <v>43</v>
      </c>
      <c r="G161" t="s">
        <v>62</v>
      </c>
      <c r="H161">
        <v>10550</v>
      </c>
      <c r="I161" t="str">
        <f t="shared" si="8"/>
        <v>HREmp_159</v>
      </c>
      <c r="J161" t="str">
        <f t="shared" si="9"/>
        <v>FemaleHRBangalore10550</v>
      </c>
      <c r="K161" t="str">
        <f t="shared" si="10"/>
        <v>43MobileBangalore</v>
      </c>
      <c r="L161" t="str">
        <f t="shared" si="11"/>
        <v>10550Mobile</v>
      </c>
    </row>
    <row r="162" spans="1:12" x14ac:dyDescent="0.3">
      <c r="A162" t="s">
        <v>345</v>
      </c>
      <c r="B162" t="s">
        <v>346</v>
      </c>
      <c r="C162" t="s">
        <v>20</v>
      </c>
      <c r="D162" t="s">
        <v>21</v>
      </c>
      <c r="E162" t="s">
        <v>12</v>
      </c>
      <c r="F162">
        <v>33</v>
      </c>
      <c r="G162" t="s">
        <v>17</v>
      </c>
      <c r="H162">
        <v>41669</v>
      </c>
      <c r="I162" t="str">
        <f t="shared" si="8"/>
        <v>HREmp_160</v>
      </c>
      <c r="J162" t="str">
        <f t="shared" si="9"/>
        <v>FemaleHRBangalore41669</v>
      </c>
      <c r="K162" t="str">
        <f t="shared" si="10"/>
        <v>33PrinterBangalore</v>
      </c>
      <c r="L162" t="str">
        <f t="shared" si="11"/>
        <v>41669Printer</v>
      </c>
    </row>
    <row r="163" spans="1:12" x14ac:dyDescent="0.3">
      <c r="A163" t="s">
        <v>347</v>
      </c>
      <c r="B163" t="s">
        <v>348</v>
      </c>
      <c r="C163" t="s">
        <v>24</v>
      </c>
      <c r="D163" t="s">
        <v>11</v>
      </c>
      <c r="E163" t="s">
        <v>12</v>
      </c>
      <c r="F163">
        <v>51</v>
      </c>
      <c r="G163" t="s">
        <v>27</v>
      </c>
      <c r="H163">
        <v>20908</v>
      </c>
      <c r="I163" t="str">
        <f t="shared" si="8"/>
        <v>FinanceEmp_161</v>
      </c>
      <c r="J163" t="str">
        <f t="shared" si="9"/>
        <v>FemaleFinanceDelhi20908</v>
      </c>
      <c r="K163" t="str">
        <f t="shared" si="10"/>
        <v>51TabletDelhi</v>
      </c>
      <c r="L163" t="str">
        <f t="shared" si="11"/>
        <v>20908Tablet</v>
      </c>
    </row>
    <row r="164" spans="1:12" x14ac:dyDescent="0.3">
      <c r="A164" t="s">
        <v>349</v>
      </c>
      <c r="B164" t="s">
        <v>350</v>
      </c>
      <c r="C164" t="s">
        <v>10</v>
      </c>
      <c r="D164" t="s">
        <v>25</v>
      </c>
      <c r="E164" t="s">
        <v>26</v>
      </c>
      <c r="F164">
        <v>52</v>
      </c>
      <c r="G164" t="s">
        <v>62</v>
      </c>
      <c r="H164">
        <v>42483</v>
      </c>
      <c r="I164" t="str">
        <f t="shared" si="8"/>
        <v>SalesEmp_162</v>
      </c>
      <c r="J164" t="str">
        <f t="shared" si="9"/>
        <v>MaleSalesPune42483</v>
      </c>
      <c r="K164" t="str">
        <f t="shared" si="10"/>
        <v>52MobilePune</v>
      </c>
      <c r="L164" t="str">
        <f t="shared" si="11"/>
        <v>42483Mobile</v>
      </c>
    </row>
    <row r="165" spans="1:12" x14ac:dyDescent="0.3">
      <c r="A165" t="s">
        <v>351</v>
      </c>
      <c r="B165" t="s">
        <v>352</v>
      </c>
      <c r="C165" t="s">
        <v>24</v>
      </c>
      <c r="D165" t="s">
        <v>25</v>
      </c>
      <c r="E165" t="s">
        <v>26</v>
      </c>
      <c r="F165">
        <v>33</v>
      </c>
      <c r="G165" t="s">
        <v>32</v>
      </c>
      <c r="H165">
        <v>39151</v>
      </c>
      <c r="I165" t="str">
        <f t="shared" si="8"/>
        <v>FinanceEmp_163</v>
      </c>
      <c r="J165" t="str">
        <f t="shared" si="9"/>
        <v>MaleFinancePune39151</v>
      </c>
      <c r="K165" t="str">
        <f t="shared" si="10"/>
        <v>33LaptopPune</v>
      </c>
      <c r="L165" t="str">
        <f t="shared" si="11"/>
        <v>39151Laptop</v>
      </c>
    </row>
    <row r="166" spans="1:12" x14ac:dyDescent="0.3">
      <c r="A166" t="s">
        <v>353</v>
      </c>
      <c r="B166" t="s">
        <v>354</v>
      </c>
      <c r="C166" t="s">
        <v>37</v>
      </c>
      <c r="D166" t="s">
        <v>16</v>
      </c>
      <c r="E166" t="s">
        <v>26</v>
      </c>
      <c r="F166">
        <v>30</v>
      </c>
      <c r="G166" t="s">
        <v>27</v>
      </c>
      <c r="H166">
        <v>16113</v>
      </c>
      <c r="I166" t="str">
        <f t="shared" si="8"/>
        <v>MarketingEmp_164</v>
      </c>
      <c r="J166" t="str">
        <f t="shared" si="9"/>
        <v>MaleMarketingMumbai16113</v>
      </c>
      <c r="K166" t="str">
        <f t="shared" si="10"/>
        <v>30TabletMumbai</v>
      </c>
      <c r="L166" t="str">
        <f t="shared" si="11"/>
        <v>16113Tablet</v>
      </c>
    </row>
    <row r="167" spans="1:12" x14ac:dyDescent="0.3">
      <c r="A167" t="s">
        <v>355</v>
      </c>
      <c r="B167" t="s">
        <v>356</v>
      </c>
      <c r="C167" t="s">
        <v>10</v>
      </c>
      <c r="D167" t="s">
        <v>11</v>
      </c>
      <c r="E167" t="s">
        <v>26</v>
      </c>
      <c r="F167">
        <v>26</v>
      </c>
      <c r="G167" t="s">
        <v>27</v>
      </c>
      <c r="H167">
        <v>49912</v>
      </c>
      <c r="I167" t="str">
        <f t="shared" si="8"/>
        <v>SalesEmp_165</v>
      </c>
      <c r="J167" t="str">
        <f t="shared" si="9"/>
        <v>MaleSalesDelhi49912</v>
      </c>
      <c r="K167" t="str">
        <f t="shared" si="10"/>
        <v>26TabletDelhi</v>
      </c>
      <c r="L167" t="str">
        <f t="shared" si="11"/>
        <v>49912Tablet</v>
      </c>
    </row>
    <row r="168" spans="1:12" x14ac:dyDescent="0.3">
      <c r="A168" t="s">
        <v>357</v>
      </c>
      <c r="B168" t="s">
        <v>358</v>
      </c>
      <c r="C168" t="s">
        <v>10</v>
      </c>
      <c r="D168" t="s">
        <v>21</v>
      </c>
      <c r="E168" t="s">
        <v>12</v>
      </c>
      <c r="F168">
        <v>51</v>
      </c>
      <c r="G168" t="s">
        <v>13</v>
      </c>
      <c r="H168">
        <v>29951</v>
      </c>
      <c r="I168" t="str">
        <f t="shared" si="8"/>
        <v>SalesEmp_166</v>
      </c>
      <c r="J168" t="str">
        <f t="shared" si="9"/>
        <v>FemaleSalesBangalore29951</v>
      </c>
      <c r="K168" t="str">
        <f t="shared" si="10"/>
        <v>51MonitorBangalore</v>
      </c>
      <c r="L168" t="str">
        <f t="shared" si="11"/>
        <v>29951Monitor</v>
      </c>
    </row>
    <row r="169" spans="1:12" x14ac:dyDescent="0.3">
      <c r="A169" t="s">
        <v>359</v>
      </c>
      <c r="B169" t="s">
        <v>360</v>
      </c>
      <c r="C169" t="s">
        <v>44</v>
      </c>
      <c r="D169" t="s">
        <v>16</v>
      </c>
      <c r="E169" t="s">
        <v>12</v>
      </c>
      <c r="F169">
        <v>24</v>
      </c>
      <c r="G169" t="s">
        <v>62</v>
      </c>
      <c r="H169">
        <v>16108</v>
      </c>
      <c r="I169" t="str">
        <f t="shared" si="8"/>
        <v>ITEmp_167</v>
      </c>
      <c r="J169" t="str">
        <f t="shared" si="9"/>
        <v>FemaleITMumbai16108</v>
      </c>
      <c r="K169" t="str">
        <f t="shared" si="10"/>
        <v>24MobileMumbai</v>
      </c>
      <c r="L169" t="str">
        <f t="shared" si="11"/>
        <v>16108Mobile</v>
      </c>
    </row>
    <row r="170" spans="1:12" x14ac:dyDescent="0.3">
      <c r="A170" t="s">
        <v>361</v>
      </c>
      <c r="B170" t="s">
        <v>362</v>
      </c>
      <c r="C170" t="s">
        <v>10</v>
      </c>
      <c r="D170" t="s">
        <v>25</v>
      </c>
      <c r="E170" t="s">
        <v>26</v>
      </c>
      <c r="F170">
        <v>40</v>
      </c>
      <c r="G170" t="s">
        <v>62</v>
      </c>
      <c r="H170">
        <v>14099</v>
      </c>
      <c r="I170" t="str">
        <f t="shared" si="8"/>
        <v>SalesEmp_168</v>
      </c>
      <c r="J170" t="str">
        <f t="shared" si="9"/>
        <v>MaleSalesPune14099</v>
      </c>
      <c r="K170" t="str">
        <f t="shared" si="10"/>
        <v>40MobilePune</v>
      </c>
      <c r="L170" t="str">
        <f t="shared" si="11"/>
        <v>14099Mobile</v>
      </c>
    </row>
    <row r="171" spans="1:12" x14ac:dyDescent="0.3">
      <c r="A171" t="s">
        <v>363</v>
      </c>
      <c r="B171" t="s">
        <v>364</v>
      </c>
      <c r="C171" t="s">
        <v>37</v>
      </c>
      <c r="D171" t="s">
        <v>16</v>
      </c>
      <c r="E171" t="s">
        <v>26</v>
      </c>
      <c r="F171">
        <v>34</v>
      </c>
      <c r="G171" t="s">
        <v>13</v>
      </c>
      <c r="H171">
        <v>22623</v>
      </c>
      <c r="I171" t="str">
        <f t="shared" si="8"/>
        <v>MarketingEmp_169</v>
      </c>
      <c r="J171" t="str">
        <f t="shared" si="9"/>
        <v>MaleMarketingMumbai22623</v>
      </c>
      <c r="K171" t="str">
        <f t="shared" si="10"/>
        <v>34MonitorMumbai</v>
      </c>
      <c r="L171" t="str">
        <f t="shared" si="11"/>
        <v>22623Monitor</v>
      </c>
    </row>
    <row r="172" spans="1:12" x14ac:dyDescent="0.3">
      <c r="A172" t="s">
        <v>365</v>
      </c>
      <c r="B172" t="s">
        <v>366</v>
      </c>
      <c r="C172" t="s">
        <v>24</v>
      </c>
      <c r="D172" t="s">
        <v>21</v>
      </c>
      <c r="E172" t="s">
        <v>26</v>
      </c>
      <c r="F172">
        <v>24</v>
      </c>
      <c r="G172" t="s">
        <v>17</v>
      </c>
      <c r="H172">
        <v>24734</v>
      </c>
      <c r="I172" t="str">
        <f t="shared" si="8"/>
        <v>FinanceEmp_170</v>
      </c>
      <c r="J172" t="str">
        <f t="shared" si="9"/>
        <v>MaleFinanceBangalore24734</v>
      </c>
      <c r="K172" t="str">
        <f t="shared" si="10"/>
        <v>24PrinterBangalore</v>
      </c>
      <c r="L172" t="str">
        <f t="shared" si="11"/>
        <v>24734Printer</v>
      </c>
    </row>
    <row r="173" spans="1:12" x14ac:dyDescent="0.3">
      <c r="A173" t="s">
        <v>367</v>
      </c>
      <c r="B173" t="s">
        <v>368</v>
      </c>
      <c r="C173" t="s">
        <v>24</v>
      </c>
      <c r="D173" t="s">
        <v>25</v>
      </c>
      <c r="E173" t="s">
        <v>26</v>
      </c>
      <c r="F173">
        <v>34</v>
      </c>
      <c r="G173" t="s">
        <v>17</v>
      </c>
      <c r="H173">
        <v>22590</v>
      </c>
      <c r="I173" t="str">
        <f t="shared" si="8"/>
        <v>FinanceEmp_171</v>
      </c>
      <c r="J173" t="str">
        <f t="shared" si="9"/>
        <v>MaleFinancePune22590</v>
      </c>
      <c r="K173" t="str">
        <f t="shared" si="10"/>
        <v>34PrinterPune</v>
      </c>
      <c r="L173" t="str">
        <f t="shared" si="11"/>
        <v>22590Printer</v>
      </c>
    </row>
    <row r="174" spans="1:12" x14ac:dyDescent="0.3">
      <c r="A174" t="s">
        <v>369</v>
      </c>
      <c r="B174" t="s">
        <v>370</v>
      </c>
      <c r="C174" t="s">
        <v>44</v>
      </c>
      <c r="D174" t="s">
        <v>55</v>
      </c>
      <c r="E174" t="s">
        <v>12</v>
      </c>
      <c r="F174">
        <v>24</v>
      </c>
      <c r="G174" t="s">
        <v>13</v>
      </c>
      <c r="H174">
        <v>37317</v>
      </c>
      <c r="I174" t="str">
        <f t="shared" si="8"/>
        <v>ITEmp_172</v>
      </c>
      <c r="J174" t="str">
        <f t="shared" si="9"/>
        <v>FemaleITHyderabad37317</v>
      </c>
      <c r="K174" t="str">
        <f t="shared" si="10"/>
        <v>24MonitorHyderabad</v>
      </c>
      <c r="L174" t="str">
        <f t="shared" si="11"/>
        <v>37317Monitor</v>
      </c>
    </row>
    <row r="175" spans="1:12" x14ac:dyDescent="0.3">
      <c r="A175" t="s">
        <v>371</v>
      </c>
      <c r="B175" t="s">
        <v>372</v>
      </c>
      <c r="C175" t="s">
        <v>37</v>
      </c>
      <c r="D175" t="s">
        <v>55</v>
      </c>
      <c r="E175" t="s">
        <v>12</v>
      </c>
      <c r="F175">
        <v>42</v>
      </c>
      <c r="G175" t="s">
        <v>27</v>
      </c>
      <c r="H175">
        <v>14563</v>
      </c>
      <c r="I175" t="str">
        <f t="shared" si="8"/>
        <v>MarketingEmp_173</v>
      </c>
      <c r="J175" t="str">
        <f t="shared" si="9"/>
        <v>FemaleMarketingHyderabad14563</v>
      </c>
      <c r="K175" t="str">
        <f t="shared" si="10"/>
        <v>42TabletHyderabad</v>
      </c>
      <c r="L175" t="str">
        <f t="shared" si="11"/>
        <v>14563Tablet</v>
      </c>
    </row>
    <row r="176" spans="1:12" x14ac:dyDescent="0.3">
      <c r="A176" t="s">
        <v>373</v>
      </c>
      <c r="B176" t="s">
        <v>374</v>
      </c>
      <c r="C176" t="s">
        <v>24</v>
      </c>
      <c r="D176" t="s">
        <v>11</v>
      </c>
      <c r="E176" t="s">
        <v>12</v>
      </c>
      <c r="F176">
        <v>41</v>
      </c>
      <c r="G176" t="s">
        <v>32</v>
      </c>
      <c r="H176">
        <v>9146</v>
      </c>
      <c r="I176" t="str">
        <f t="shared" si="8"/>
        <v>FinanceEmp_174</v>
      </c>
      <c r="J176" t="str">
        <f t="shared" si="9"/>
        <v>FemaleFinanceDelhi9146</v>
      </c>
      <c r="K176" t="str">
        <f t="shared" si="10"/>
        <v>41LaptopDelhi</v>
      </c>
      <c r="L176" t="str">
        <f t="shared" si="11"/>
        <v>9146Laptop</v>
      </c>
    </row>
    <row r="177" spans="1:12" x14ac:dyDescent="0.3">
      <c r="A177" t="s">
        <v>375</v>
      </c>
      <c r="B177" t="s">
        <v>376</v>
      </c>
      <c r="C177" t="s">
        <v>20</v>
      </c>
      <c r="D177" t="s">
        <v>16</v>
      </c>
      <c r="E177" t="s">
        <v>12</v>
      </c>
      <c r="F177">
        <v>54</v>
      </c>
      <c r="G177" t="s">
        <v>17</v>
      </c>
      <c r="H177">
        <v>15958</v>
      </c>
      <c r="I177" t="str">
        <f t="shared" si="8"/>
        <v>HREmp_175</v>
      </c>
      <c r="J177" t="str">
        <f t="shared" si="9"/>
        <v>FemaleHRMumbai15958</v>
      </c>
      <c r="K177" t="str">
        <f t="shared" si="10"/>
        <v>54PrinterMumbai</v>
      </c>
      <c r="L177" t="str">
        <f t="shared" si="11"/>
        <v>15958Printer</v>
      </c>
    </row>
    <row r="178" spans="1:12" x14ac:dyDescent="0.3">
      <c r="A178" t="s">
        <v>377</v>
      </c>
      <c r="B178" t="s">
        <v>378</v>
      </c>
      <c r="C178" t="s">
        <v>37</v>
      </c>
      <c r="D178" t="s">
        <v>25</v>
      </c>
      <c r="E178" t="s">
        <v>26</v>
      </c>
      <c r="F178">
        <v>47</v>
      </c>
      <c r="G178" t="s">
        <v>32</v>
      </c>
      <c r="H178">
        <v>33486</v>
      </c>
      <c r="I178" t="str">
        <f t="shared" si="8"/>
        <v>MarketingEmp_176</v>
      </c>
      <c r="J178" t="str">
        <f t="shared" si="9"/>
        <v>MaleMarketingPune33486</v>
      </c>
      <c r="K178" t="str">
        <f t="shared" si="10"/>
        <v>47LaptopPune</v>
      </c>
      <c r="L178" t="str">
        <f t="shared" si="11"/>
        <v>33486Laptop</v>
      </c>
    </row>
    <row r="179" spans="1:12" x14ac:dyDescent="0.3">
      <c r="A179" t="s">
        <v>379</v>
      </c>
      <c r="B179" t="s">
        <v>380</v>
      </c>
      <c r="C179" t="s">
        <v>37</v>
      </c>
      <c r="D179" t="s">
        <v>11</v>
      </c>
      <c r="E179" t="s">
        <v>12</v>
      </c>
      <c r="F179">
        <v>56</v>
      </c>
      <c r="G179" t="s">
        <v>62</v>
      </c>
      <c r="H179">
        <v>23085</v>
      </c>
      <c r="I179" t="str">
        <f t="shared" si="8"/>
        <v>MarketingEmp_177</v>
      </c>
      <c r="J179" t="str">
        <f t="shared" si="9"/>
        <v>FemaleMarketingDelhi23085</v>
      </c>
      <c r="K179" t="str">
        <f t="shared" si="10"/>
        <v>56MobileDelhi</v>
      </c>
      <c r="L179" t="str">
        <f t="shared" si="11"/>
        <v>23085Mobile</v>
      </c>
    </row>
    <row r="180" spans="1:12" x14ac:dyDescent="0.3">
      <c r="A180" t="s">
        <v>381</v>
      </c>
      <c r="B180" t="s">
        <v>382</v>
      </c>
      <c r="C180" t="s">
        <v>44</v>
      </c>
      <c r="D180" t="s">
        <v>16</v>
      </c>
      <c r="E180" t="s">
        <v>26</v>
      </c>
      <c r="F180">
        <v>52</v>
      </c>
      <c r="G180" t="s">
        <v>62</v>
      </c>
      <c r="H180">
        <v>32597</v>
      </c>
      <c r="I180" t="str">
        <f t="shared" si="8"/>
        <v>ITEmp_178</v>
      </c>
      <c r="J180" t="str">
        <f t="shared" si="9"/>
        <v>MaleITMumbai32597</v>
      </c>
      <c r="K180" t="str">
        <f t="shared" si="10"/>
        <v>52MobileMumbai</v>
      </c>
      <c r="L180" t="str">
        <f t="shared" si="11"/>
        <v>32597Mobile</v>
      </c>
    </row>
    <row r="181" spans="1:12" x14ac:dyDescent="0.3">
      <c r="A181" t="s">
        <v>383</v>
      </c>
      <c r="B181" t="s">
        <v>384</v>
      </c>
      <c r="C181" t="s">
        <v>24</v>
      </c>
      <c r="D181" t="s">
        <v>21</v>
      </c>
      <c r="E181" t="s">
        <v>12</v>
      </c>
      <c r="F181">
        <v>38</v>
      </c>
      <c r="G181" t="s">
        <v>17</v>
      </c>
      <c r="H181">
        <v>24644</v>
      </c>
      <c r="I181" t="str">
        <f t="shared" si="8"/>
        <v>FinanceEmp_179</v>
      </c>
      <c r="J181" t="str">
        <f t="shared" si="9"/>
        <v>FemaleFinanceBangalore24644</v>
      </c>
      <c r="K181" t="str">
        <f t="shared" si="10"/>
        <v>38PrinterBangalore</v>
      </c>
      <c r="L181" t="str">
        <f t="shared" si="11"/>
        <v>24644Printer</v>
      </c>
    </row>
    <row r="182" spans="1:12" x14ac:dyDescent="0.3">
      <c r="A182" t="s">
        <v>385</v>
      </c>
      <c r="B182" t="s">
        <v>386</v>
      </c>
      <c r="C182" t="s">
        <v>37</v>
      </c>
      <c r="D182" t="s">
        <v>25</v>
      </c>
      <c r="E182" t="s">
        <v>12</v>
      </c>
      <c r="F182">
        <v>24</v>
      </c>
      <c r="G182" t="s">
        <v>27</v>
      </c>
      <c r="H182">
        <v>36734</v>
      </c>
      <c r="I182" t="str">
        <f t="shared" si="8"/>
        <v>MarketingEmp_180</v>
      </c>
      <c r="J182" t="str">
        <f t="shared" si="9"/>
        <v>FemaleMarketingPune36734</v>
      </c>
      <c r="K182" t="str">
        <f t="shared" si="10"/>
        <v>24TabletPune</v>
      </c>
      <c r="L182" t="str">
        <f t="shared" si="11"/>
        <v>36734Tablet</v>
      </c>
    </row>
    <row r="183" spans="1:12" x14ac:dyDescent="0.3">
      <c r="A183" t="s">
        <v>387</v>
      </c>
      <c r="B183" t="s">
        <v>388</v>
      </c>
      <c r="C183" t="s">
        <v>24</v>
      </c>
      <c r="D183" t="s">
        <v>16</v>
      </c>
      <c r="E183" t="s">
        <v>12</v>
      </c>
      <c r="F183">
        <v>34</v>
      </c>
      <c r="G183" t="s">
        <v>62</v>
      </c>
      <c r="H183">
        <v>10041</v>
      </c>
      <c r="I183" t="str">
        <f t="shared" si="8"/>
        <v>FinanceEmp_181</v>
      </c>
      <c r="J183" t="str">
        <f t="shared" si="9"/>
        <v>FemaleFinanceMumbai10041</v>
      </c>
      <c r="K183" t="str">
        <f t="shared" si="10"/>
        <v>34MobileMumbai</v>
      </c>
      <c r="L183" t="str">
        <f t="shared" si="11"/>
        <v>10041Mobile</v>
      </c>
    </row>
    <row r="184" spans="1:12" x14ac:dyDescent="0.3">
      <c r="A184" t="s">
        <v>389</v>
      </c>
      <c r="B184" t="s">
        <v>390</v>
      </c>
      <c r="C184" t="s">
        <v>20</v>
      </c>
      <c r="D184" t="s">
        <v>25</v>
      </c>
      <c r="E184" t="s">
        <v>26</v>
      </c>
      <c r="F184">
        <v>40</v>
      </c>
      <c r="G184" t="s">
        <v>32</v>
      </c>
      <c r="H184">
        <v>28666</v>
      </c>
      <c r="I184" t="str">
        <f t="shared" si="8"/>
        <v>HREmp_182</v>
      </c>
      <c r="J184" t="str">
        <f t="shared" si="9"/>
        <v>MaleHRPune28666</v>
      </c>
      <c r="K184" t="str">
        <f t="shared" si="10"/>
        <v>40LaptopPune</v>
      </c>
      <c r="L184" t="str">
        <f t="shared" si="11"/>
        <v>28666Laptop</v>
      </c>
    </row>
    <row r="185" spans="1:12" x14ac:dyDescent="0.3">
      <c r="A185" t="s">
        <v>391</v>
      </c>
      <c r="B185" t="s">
        <v>392</v>
      </c>
      <c r="C185" t="s">
        <v>44</v>
      </c>
      <c r="D185" t="s">
        <v>16</v>
      </c>
      <c r="E185" t="s">
        <v>12</v>
      </c>
      <c r="F185">
        <v>44</v>
      </c>
      <c r="G185" t="s">
        <v>27</v>
      </c>
      <c r="H185">
        <v>21495</v>
      </c>
      <c r="I185" t="str">
        <f t="shared" si="8"/>
        <v>ITEmp_183</v>
      </c>
      <c r="J185" t="str">
        <f t="shared" si="9"/>
        <v>FemaleITMumbai21495</v>
      </c>
      <c r="K185" t="str">
        <f t="shared" si="10"/>
        <v>44TabletMumbai</v>
      </c>
      <c r="L185" t="str">
        <f t="shared" si="11"/>
        <v>21495Tablet</v>
      </c>
    </row>
    <row r="186" spans="1:12" x14ac:dyDescent="0.3">
      <c r="A186" t="s">
        <v>393</v>
      </c>
      <c r="B186" t="s">
        <v>394</v>
      </c>
      <c r="C186" t="s">
        <v>20</v>
      </c>
      <c r="D186" t="s">
        <v>21</v>
      </c>
      <c r="E186" t="s">
        <v>26</v>
      </c>
      <c r="F186">
        <v>25</v>
      </c>
      <c r="G186" t="s">
        <v>17</v>
      </c>
      <c r="H186">
        <v>21160</v>
      </c>
      <c r="I186" t="str">
        <f t="shared" si="8"/>
        <v>HREmp_184</v>
      </c>
      <c r="J186" t="str">
        <f t="shared" si="9"/>
        <v>MaleHRBangalore21160</v>
      </c>
      <c r="K186" t="str">
        <f t="shared" si="10"/>
        <v>25PrinterBangalore</v>
      </c>
      <c r="L186" t="str">
        <f t="shared" si="11"/>
        <v>21160Printer</v>
      </c>
    </row>
    <row r="187" spans="1:12" x14ac:dyDescent="0.3">
      <c r="A187" t="s">
        <v>395</v>
      </c>
      <c r="B187" t="s">
        <v>396</v>
      </c>
      <c r="C187" t="s">
        <v>44</v>
      </c>
      <c r="D187" t="s">
        <v>25</v>
      </c>
      <c r="E187" t="s">
        <v>12</v>
      </c>
      <c r="F187">
        <v>43</v>
      </c>
      <c r="G187" t="s">
        <v>62</v>
      </c>
      <c r="H187">
        <v>45962</v>
      </c>
      <c r="I187" t="str">
        <f t="shared" si="8"/>
        <v>ITEmp_185</v>
      </c>
      <c r="J187" t="str">
        <f t="shared" si="9"/>
        <v>FemaleITPune45962</v>
      </c>
      <c r="K187" t="str">
        <f t="shared" si="10"/>
        <v>43MobilePune</v>
      </c>
      <c r="L187" t="str">
        <f t="shared" si="11"/>
        <v>45962Mobile</v>
      </c>
    </row>
    <row r="188" spans="1:12" x14ac:dyDescent="0.3">
      <c r="A188" t="s">
        <v>397</v>
      </c>
      <c r="B188" t="s">
        <v>398</v>
      </c>
      <c r="C188" t="s">
        <v>37</v>
      </c>
      <c r="D188" t="s">
        <v>55</v>
      </c>
      <c r="E188" t="s">
        <v>12</v>
      </c>
      <c r="F188">
        <v>39</v>
      </c>
      <c r="G188" t="s">
        <v>17</v>
      </c>
      <c r="H188">
        <v>37492</v>
      </c>
      <c r="I188" t="str">
        <f t="shared" si="8"/>
        <v>MarketingEmp_186</v>
      </c>
      <c r="J188" t="str">
        <f t="shared" si="9"/>
        <v>FemaleMarketingHyderabad37492</v>
      </c>
      <c r="K188" t="str">
        <f t="shared" si="10"/>
        <v>39PrinterHyderabad</v>
      </c>
      <c r="L188" t="str">
        <f t="shared" si="11"/>
        <v>37492Printer</v>
      </c>
    </row>
    <row r="189" spans="1:12" x14ac:dyDescent="0.3">
      <c r="A189" t="s">
        <v>399</v>
      </c>
      <c r="B189" t="s">
        <v>400</v>
      </c>
      <c r="C189" t="s">
        <v>44</v>
      </c>
      <c r="D189" t="s">
        <v>21</v>
      </c>
      <c r="E189" t="s">
        <v>26</v>
      </c>
      <c r="F189">
        <v>29</v>
      </c>
      <c r="G189" t="s">
        <v>27</v>
      </c>
      <c r="H189">
        <v>43915</v>
      </c>
      <c r="I189" t="str">
        <f t="shared" si="8"/>
        <v>ITEmp_187</v>
      </c>
      <c r="J189" t="str">
        <f t="shared" si="9"/>
        <v>MaleITBangalore43915</v>
      </c>
      <c r="K189" t="str">
        <f t="shared" si="10"/>
        <v>29TabletBangalore</v>
      </c>
      <c r="L189" t="str">
        <f t="shared" si="11"/>
        <v>43915Tablet</v>
      </c>
    </row>
    <row r="190" spans="1:12" x14ac:dyDescent="0.3">
      <c r="A190" t="s">
        <v>401</v>
      </c>
      <c r="B190" t="s">
        <v>402</v>
      </c>
      <c r="C190" t="s">
        <v>10</v>
      </c>
      <c r="D190" t="s">
        <v>16</v>
      </c>
      <c r="E190" t="s">
        <v>12</v>
      </c>
      <c r="F190">
        <v>45</v>
      </c>
      <c r="G190" t="s">
        <v>27</v>
      </c>
      <c r="H190">
        <v>45414</v>
      </c>
      <c r="I190" t="str">
        <f t="shared" si="8"/>
        <v>SalesEmp_188</v>
      </c>
      <c r="J190" t="str">
        <f t="shared" si="9"/>
        <v>FemaleSalesMumbai45414</v>
      </c>
      <c r="K190" t="str">
        <f t="shared" si="10"/>
        <v>45TabletMumbai</v>
      </c>
      <c r="L190" t="str">
        <f t="shared" si="11"/>
        <v>45414Tablet</v>
      </c>
    </row>
    <row r="191" spans="1:12" x14ac:dyDescent="0.3">
      <c r="A191" t="s">
        <v>403</v>
      </c>
      <c r="B191" t="s">
        <v>404</v>
      </c>
      <c r="C191" t="s">
        <v>24</v>
      </c>
      <c r="D191" t="s">
        <v>25</v>
      </c>
      <c r="E191" t="s">
        <v>26</v>
      </c>
      <c r="F191">
        <v>49</v>
      </c>
      <c r="G191" t="s">
        <v>27</v>
      </c>
      <c r="H191">
        <v>17815</v>
      </c>
      <c r="I191" t="str">
        <f t="shared" si="8"/>
        <v>FinanceEmp_189</v>
      </c>
      <c r="J191" t="str">
        <f t="shared" si="9"/>
        <v>MaleFinancePune17815</v>
      </c>
      <c r="K191" t="str">
        <f t="shared" si="10"/>
        <v>49TabletPune</v>
      </c>
      <c r="L191" t="str">
        <f t="shared" si="11"/>
        <v>17815Tablet</v>
      </c>
    </row>
    <row r="192" spans="1:12" x14ac:dyDescent="0.3">
      <c r="A192" t="s">
        <v>405</v>
      </c>
      <c r="B192" t="s">
        <v>406</v>
      </c>
      <c r="C192" t="s">
        <v>24</v>
      </c>
      <c r="D192" t="s">
        <v>21</v>
      </c>
      <c r="E192" t="s">
        <v>12</v>
      </c>
      <c r="F192">
        <v>47</v>
      </c>
      <c r="G192" t="s">
        <v>13</v>
      </c>
      <c r="H192">
        <v>35006</v>
      </c>
      <c r="I192" t="str">
        <f t="shared" si="8"/>
        <v>FinanceEmp_190</v>
      </c>
      <c r="J192" t="str">
        <f t="shared" si="9"/>
        <v>FemaleFinanceBangalore35006</v>
      </c>
      <c r="K192" t="str">
        <f t="shared" si="10"/>
        <v>47MonitorBangalore</v>
      </c>
      <c r="L192" t="str">
        <f t="shared" si="11"/>
        <v>35006Monitor</v>
      </c>
    </row>
    <row r="193" spans="1:12" x14ac:dyDescent="0.3">
      <c r="A193" t="s">
        <v>407</v>
      </c>
      <c r="B193" t="s">
        <v>408</v>
      </c>
      <c r="C193" t="s">
        <v>10</v>
      </c>
      <c r="D193" t="s">
        <v>16</v>
      </c>
      <c r="E193" t="s">
        <v>12</v>
      </c>
      <c r="F193">
        <v>50</v>
      </c>
      <c r="G193" t="s">
        <v>13</v>
      </c>
      <c r="H193">
        <v>12010</v>
      </c>
      <c r="I193" t="str">
        <f t="shared" si="8"/>
        <v>SalesEmp_191</v>
      </c>
      <c r="J193" t="str">
        <f t="shared" si="9"/>
        <v>FemaleSalesMumbai12010</v>
      </c>
      <c r="K193" t="str">
        <f t="shared" si="10"/>
        <v>50MonitorMumbai</v>
      </c>
      <c r="L193" t="str">
        <f t="shared" si="11"/>
        <v>12010Monitor</v>
      </c>
    </row>
    <row r="194" spans="1:12" x14ac:dyDescent="0.3">
      <c r="A194" t="s">
        <v>409</v>
      </c>
      <c r="B194" t="s">
        <v>410</v>
      </c>
      <c r="C194" t="s">
        <v>20</v>
      </c>
      <c r="D194" t="s">
        <v>55</v>
      </c>
      <c r="E194" t="s">
        <v>26</v>
      </c>
      <c r="F194">
        <v>46</v>
      </c>
      <c r="G194" t="s">
        <v>32</v>
      </c>
      <c r="H194">
        <v>13879</v>
      </c>
      <c r="I194" t="str">
        <f t="shared" si="8"/>
        <v>HREmp_192</v>
      </c>
      <c r="J194" t="str">
        <f t="shared" si="9"/>
        <v>MaleHRHyderabad13879</v>
      </c>
      <c r="K194" t="str">
        <f t="shared" si="10"/>
        <v>46LaptopHyderabad</v>
      </c>
      <c r="L194" t="str">
        <f t="shared" si="11"/>
        <v>13879Laptop</v>
      </c>
    </row>
    <row r="195" spans="1:12" x14ac:dyDescent="0.3">
      <c r="A195" t="s">
        <v>411</v>
      </c>
      <c r="B195" t="s">
        <v>412</v>
      </c>
      <c r="C195" t="s">
        <v>10</v>
      </c>
      <c r="D195" t="s">
        <v>55</v>
      </c>
      <c r="E195" t="s">
        <v>12</v>
      </c>
      <c r="F195">
        <v>43</v>
      </c>
      <c r="G195" t="s">
        <v>27</v>
      </c>
      <c r="H195">
        <v>24966</v>
      </c>
      <c r="I195" t="str">
        <f t="shared" ref="I195:I258" si="12">_xlfn.CONCAT(C195,B195)</f>
        <v>SalesEmp_193</v>
      </c>
      <c r="J195" t="str">
        <f t="shared" ref="J195:J258" si="13">_xlfn.CONCAT(E195,C195,D195,H195)</f>
        <v>FemaleSalesHyderabad24966</v>
      </c>
      <c r="K195" t="str">
        <f t="shared" ref="K195:K258" si="14">_xlfn.CONCAT(F195,G195,D195)</f>
        <v>43TabletHyderabad</v>
      </c>
      <c r="L195" t="str">
        <f t="shared" ref="L195:L258" si="15">_xlfn.CONCAT(H195,G195)</f>
        <v>24966Tablet</v>
      </c>
    </row>
    <row r="196" spans="1:12" x14ac:dyDescent="0.3">
      <c r="A196" t="s">
        <v>413</v>
      </c>
      <c r="B196" t="s">
        <v>414</v>
      </c>
      <c r="C196" t="s">
        <v>37</v>
      </c>
      <c r="D196" t="s">
        <v>16</v>
      </c>
      <c r="E196" t="s">
        <v>12</v>
      </c>
      <c r="F196">
        <v>33</v>
      </c>
      <c r="G196" t="s">
        <v>27</v>
      </c>
      <c r="H196">
        <v>5443</v>
      </c>
      <c r="I196" t="str">
        <f t="shared" si="12"/>
        <v>MarketingEmp_194</v>
      </c>
      <c r="J196" t="str">
        <f t="shared" si="13"/>
        <v>FemaleMarketingMumbai5443</v>
      </c>
      <c r="K196" t="str">
        <f t="shared" si="14"/>
        <v>33TabletMumbai</v>
      </c>
      <c r="L196" t="str">
        <f t="shared" si="15"/>
        <v>5443Tablet</v>
      </c>
    </row>
    <row r="197" spans="1:12" x14ac:dyDescent="0.3">
      <c r="A197" t="s">
        <v>415</v>
      </c>
      <c r="B197" t="s">
        <v>416</v>
      </c>
      <c r="C197" t="s">
        <v>37</v>
      </c>
      <c r="D197" t="s">
        <v>55</v>
      </c>
      <c r="E197" t="s">
        <v>26</v>
      </c>
      <c r="F197">
        <v>53</v>
      </c>
      <c r="G197" t="s">
        <v>62</v>
      </c>
      <c r="H197">
        <v>30932</v>
      </c>
      <c r="I197" t="str">
        <f t="shared" si="12"/>
        <v>MarketingEmp_195</v>
      </c>
      <c r="J197" t="str">
        <f t="shared" si="13"/>
        <v>MaleMarketingHyderabad30932</v>
      </c>
      <c r="K197" t="str">
        <f t="shared" si="14"/>
        <v>53MobileHyderabad</v>
      </c>
      <c r="L197" t="str">
        <f t="shared" si="15"/>
        <v>30932Mobile</v>
      </c>
    </row>
    <row r="198" spans="1:12" x14ac:dyDescent="0.3">
      <c r="A198" t="s">
        <v>417</v>
      </c>
      <c r="B198" t="s">
        <v>418</v>
      </c>
      <c r="C198" t="s">
        <v>24</v>
      </c>
      <c r="D198" t="s">
        <v>21</v>
      </c>
      <c r="E198" t="s">
        <v>26</v>
      </c>
      <c r="F198">
        <v>53</v>
      </c>
      <c r="G198" t="s">
        <v>32</v>
      </c>
      <c r="H198">
        <v>26772</v>
      </c>
      <c r="I198" t="str">
        <f t="shared" si="12"/>
        <v>FinanceEmp_196</v>
      </c>
      <c r="J198" t="str">
        <f t="shared" si="13"/>
        <v>MaleFinanceBangalore26772</v>
      </c>
      <c r="K198" t="str">
        <f t="shared" si="14"/>
        <v>53LaptopBangalore</v>
      </c>
      <c r="L198" t="str">
        <f t="shared" si="15"/>
        <v>26772Laptop</v>
      </c>
    </row>
    <row r="199" spans="1:12" x14ac:dyDescent="0.3">
      <c r="A199" t="s">
        <v>419</v>
      </c>
      <c r="B199" t="s">
        <v>420</v>
      </c>
      <c r="C199" t="s">
        <v>37</v>
      </c>
      <c r="D199" t="s">
        <v>55</v>
      </c>
      <c r="E199" t="s">
        <v>12</v>
      </c>
      <c r="F199">
        <v>45</v>
      </c>
      <c r="G199" t="s">
        <v>32</v>
      </c>
      <c r="H199">
        <v>45644</v>
      </c>
      <c r="I199" t="str">
        <f t="shared" si="12"/>
        <v>MarketingEmp_197</v>
      </c>
      <c r="J199" t="str">
        <f t="shared" si="13"/>
        <v>FemaleMarketingHyderabad45644</v>
      </c>
      <c r="K199" t="str">
        <f t="shared" si="14"/>
        <v>45LaptopHyderabad</v>
      </c>
      <c r="L199" t="str">
        <f t="shared" si="15"/>
        <v>45644Laptop</v>
      </c>
    </row>
    <row r="200" spans="1:12" x14ac:dyDescent="0.3">
      <c r="A200" t="s">
        <v>421</v>
      </c>
      <c r="B200" t="s">
        <v>422</v>
      </c>
      <c r="C200" t="s">
        <v>24</v>
      </c>
      <c r="D200" t="s">
        <v>11</v>
      </c>
      <c r="E200" t="s">
        <v>26</v>
      </c>
      <c r="F200">
        <v>55</v>
      </c>
      <c r="G200" t="s">
        <v>17</v>
      </c>
      <c r="H200">
        <v>29896</v>
      </c>
      <c r="I200" t="str">
        <f t="shared" si="12"/>
        <v>FinanceEmp_198</v>
      </c>
      <c r="J200" t="str">
        <f t="shared" si="13"/>
        <v>MaleFinanceDelhi29896</v>
      </c>
      <c r="K200" t="str">
        <f t="shared" si="14"/>
        <v>55PrinterDelhi</v>
      </c>
      <c r="L200" t="str">
        <f t="shared" si="15"/>
        <v>29896Printer</v>
      </c>
    </row>
    <row r="201" spans="1:12" x14ac:dyDescent="0.3">
      <c r="A201" t="s">
        <v>423</v>
      </c>
      <c r="B201" t="s">
        <v>424</v>
      </c>
      <c r="C201" t="s">
        <v>10</v>
      </c>
      <c r="D201" t="s">
        <v>55</v>
      </c>
      <c r="E201" t="s">
        <v>26</v>
      </c>
      <c r="F201">
        <v>39</v>
      </c>
      <c r="G201" t="s">
        <v>27</v>
      </c>
      <c r="H201">
        <v>26596</v>
      </c>
      <c r="I201" t="str">
        <f t="shared" si="12"/>
        <v>SalesEmp_199</v>
      </c>
      <c r="J201" t="str">
        <f t="shared" si="13"/>
        <v>MaleSalesHyderabad26596</v>
      </c>
      <c r="K201" t="str">
        <f t="shared" si="14"/>
        <v>39TabletHyderabad</v>
      </c>
      <c r="L201" t="str">
        <f t="shared" si="15"/>
        <v>26596Tablet</v>
      </c>
    </row>
    <row r="202" spans="1:12" x14ac:dyDescent="0.3">
      <c r="A202" t="s">
        <v>425</v>
      </c>
      <c r="B202" t="s">
        <v>426</v>
      </c>
      <c r="C202" t="s">
        <v>10</v>
      </c>
      <c r="D202" t="s">
        <v>11</v>
      </c>
      <c r="E202" t="s">
        <v>26</v>
      </c>
      <c r="F202">
        <v>27</v>
      </c>
      <c r="G202" t="s">
        <v>62</v>
      </c>
      <c r="H202">
        <v>33850</v>
      </c>
      <c r="I202" t="str">
        <f t="shared" si="12"/>
        <v>SalesEmp_200</v>
      </c>
      <c r="J202" t="str">
        <f t="shared" si="13"/>
        <v>MaleSalesDelhi33850</v>
      </c>
      <c r="K202" t="str">
        <f t="shared" si="14"/>
        <v>27MobileDelhi</v>
      </c>
      <c r="L202" t="str">
        <f t="shared" si="15"/>
        <v>33850Mobile</v>
      </c>
    </row>
    <row r="203" spans="1:12" x14ac:dyDescent="0.3">
      <c r="A203" t="s">
        <v>427</v>
      </c>
      <c r="B203" t="s">
        <v>428</v>
      </c>
      <c r="C203" t="s">
        <v>10</v>
      </c>
      <c r="D203" t="s">
        <v>25</v>
      </c>
      <c r="E203" t="s">
        <v>26</v>
      </c>
      <c r="F203">
        <v>49</v>
      </c>
      <c r="G203" t="s">
        <v>17</v>
      </c>
      <c r="H203">
        <v>26937</v>
      </c>
      <c r="I203" t="str">
        <f t="shared" si="12"/>
        <v>SalesEmp_201</v>
      </c>
      <c r="J203" t="str">
        <f t="shared" si="13"/>
        <v>MaleSalesPune26937</v>
      </c>
      <c r="K203" t="str">
        <f t="shared" si="14"/>
        <v>49PrinterPune</v>
      </c>
      <c r="L203" t="str">
        <f t="shared" si="15"/>
        <v>26937Printer</v>
      </c>
    </row>
    <row r="204" spans="1:12" x14ac:dyDescent="0.3">
      <c r="A204" t="s">
        <v>429</v>
      </c>
      <c r="B204" t="s">
        <v>430</v>
      </c>
      <c r="C204" t="s">
        <v>24</v>
      </c>
      <c r="D204" t="s">
        <v>21</v>
      </c>
      <c r="E204" t="s">
        <v>12</v>
      </c>
      <c r="F204">
        <v>27</v>
      </c>
      <c r="G204" t="s">
        <v>13</v>
      </c>
      <c r="H204">
        <v>33220</v>
      </c>
      <c r="I204" t="str">
        <f t="shared" si="12"/>
        <v>FinanceEmp_202</v>
      </c>
      <c r="J204" t="str">
        <f t="shared" si="13"/>
        <v>FemaleFinanceBangalore33220</v>
      </c>
      <c r="K204" t="str">
        <f t="shared" si="14"/>
        <v>27MonitorBangalore</v>
      </c>
      <c r="L204" t="str">
        <f t="shared" si="15"/>
        <v>33220Monitor</v>
      </c>
    </row>
    <row r="205" spans="1:12" x14ac:dyDescent="0.3">
      <c r="A205" t="s">
        <v>431</v>
      </c>
      <c r="B205" t="s">
        <v>432</v>
      </c>
      <c r="C205" t="s">
        <v>10</v>
      </c>
      <c r="D205" t="s">
        <v>25</v>
      </c>
      <c r="E205" t="s">
        <v>26</v>
      </c>
      <c r="F205">
        <v>49</v>
      </c>
      <c r="G205" t="s">
        <v>27</v>
      </c>
      <c r="H205">
        <v>47666</v>
      </c>
      <c r="I205" t="str">
        <f t="shared" si="12"/>
        <v>SalesEmp_203</v>
      </c>
      <c r="J205" t="str">
        <f t="shared" si="13"/>
        <v>MaleSalesPune47666</v>
      </c>
      <c r="K205" t="str">
        <f t="shared" si="14"/>
        <v>49TabletPune</v>
      </c>
      <c r="L205" t="str">
        <f t="shared" si="15"/>
        <v>47666Tablet</v>
      </c>
    </row>
    <row r="206" spans="1:12" x14ac:dyDescent="0.3">
      <c r="A206" t="s">
        <v>433</v>
      </c>
      <c r="B206" t="s">
        <v>434</v>
      </c>
      <c r="C206" t="s">
        <v>10</v>
      </c>
      <c r="D206" t="s">
        <v>25</v>
      </c>
      <c r="E206" t="s">
        <v>26</v>
      </c>
      <c r="F206">
        <v>60</v>
      </c>
      <c r="G206" t="s">
        <v>32</v>
      </c>
      <c r="H206">
        <v>43954</v>
      </c>
      <c r="I206" t="str">
        <f t="shared" si="12"/>
        <v>SalesEmp_204</v>
      </c>
      <c r="J206" t="str">
        <f t="shared" si="13"/>
        <v>MaleSalesPune43954</v>
      </c>
      <c r="K206" t="str">
        <f t="shared" si="14"/>
        <v>60LaptopPune</v>
      </c>
      <c r="L206" t="str">
        <f t="shared" si="15"/>
        <v>43954Laptop</v>
      </c>
    </row>
    <row r="207" spans="1:12" x14ac:dyDescent="0.3">
      <c r="A207" t="s">
        <v>435</v>
      </c>
      <c r="B207" t="s">
        <v>436</v>
      </c>
      <c r="C207" t="s">
        <v>20</v>
      </c>
      <c r="D207" t="s">
        <v>55</v>
      </c>
      <c r="E207" t="s">
        <v>26</v>
      </c>
      <c r="F207">
        <v>33</v>
      </c>
      <c r="G207" t="s">
        <v>27</v>
      </c>
      <c r="H207">
        <v>13921</v>
      </c>
      <c r="I207" t="str">
        <f t="shared" si="12"/>
        <v>HREmp_205</v>
      </c>
      <c r="J207" t="str">
        <f t="shared" si="13"/>
        <v>MaleHRHyderabad13921</v>
      </c>
      <c r="K207" t="str">
        <f t="shared" si="14"/>
        <v>33TabletHyderabad</v>
      </c>
      <c r="L207" t="str">
        <f t="shared" si="15"/>
        <v>13921Tablet</v>
      </c>
    </row>
    <row r="208" spans="1:12" x14ac:dyDescent="0.3">
      <c r="A208" t="s">
        <v>437</v>
      </c>
      <c r="B208" t="s">
        <v>438</v>
      </c>
      <c r="C208" t="s">
        <v>10</v>
      </c>
      <c r="D208" t="s">
        <v>55</v>
      </c>
      <c r="E208" t="s">
        <v>26</v>
      </c>
      <c r="F208">
        <v>56</v>
      </c>
      <c r="G208" t="s">
        <v>27</v>
      </c>
      <c r="H208">
        <v>24689</v>
      </c>
      <c r="I208" t="str">
        <f t="shared" si="12"/>
        <v>SalesEmp_206</v>
      </c>
      <c r="J208" t="str">
        <f t="shared" si="13"/>
        <v>MaleSalesHyderabad24689</v>
      </c>
      <c r="K208" t="str">
        <f t="shared" si="14"/>
        <v>56TabletHyderabad</v>
      </c>
      <c r="L208" t="str">
        <f t="shared" si="15"/>
        <v>24689Tablet</v>
      </c>
    </row>
    <row r="209" spans="1:12" x14ac:dyDescent="0.3">
      <c r="A209" t="s">
        <v>439</v>
      </c>
      <c r="B209" t="s">
        <v>440</v>
      </c>
      <c r="C209" t="s">
        <v>37</v>
      </c>
      <c r="D209" t="s">
        <v>55</v>
      </c>
      <c r="E209" t="s">
        <v>26</v>
      </c>
      <c r="F209">
        <v>40</v>
      </c>
      <c r="G209" t="s">
        <v>13</v>
      </c>
      <c r="H209">
        <v>26015</v>
      </c>
      <c r="I209" t="str">
        <f t="shared" si="12"/>
        <v>MarketingEmp_207</v>
      </c>
      <c r="J209" t="str">
        <f t="shared" si="13"/>
        <v>MaleMarketingHyderabad26015</v>
      </c>
      <c r="K209" t="str">
        <f t="shared" si="14"/>
        <v>40MonitorHyderabad</v>
      </c>
      <c r="L209" t="str">
        <f t="shared" si="15"/>
        <v>26015Monitor</v>
      </c>
    </row>
    <row r="210" spans="1:12" x14ac:dyDescent="0.3">
      <c r="A210" t="s">
        <v>441</v>
      </c>
      <c r="B210" t="s">
        <v>442</v>
      </c>
      <c r="C210" t="s">
        <v>24</v>
      </c>
      <c r="D210" t="s">
        <v>25</v>
      </c>
      <c r="E210" t="s">
        <v>26</v>
      </c>
      <c r="F210">
        <v>42</v>
      </c>
      <c r="G210" t="s">
        <v>62</v>
      </c>
      <c r="H210">
        <v>44532</v>
      </c>
      <c r="I210" t="str">
        <f t="shared" si="12"/>
        <v>FinanceEmp_208</v>
      </c>
      <c r="J210" t="str">
        <f t="shared" si="13"/>
        <v>MaleFinancePune44532</v>
      </c>
      <c r="K210" t="str">
        <f t="shared" si="14"/>
        <v>42MobilePune</v>
      </c>
      <c r="L210" t="str">
        <f t="shared" si="15"/>
        <v>44532Mobile</v>
      </c>
    </row>
    <row r="211" spans="1:12" x14ac:dyDescent="0.3">
      <c r="A211" t="s">
        <v>443</v>
      </c>
      <c r="B211" t="s">
        <v>444</v>
      </c>
      <c r="C211" t="s">
        <v>20</v>
      </c>
      <c r="D211" t="s">
        <v>21</v>
      </c>
      <c r="E211" t="s">
        <v>26</v>
      </c>
      <c r="F211">
        <v>28</v>
      </c>
      <c r="G211" t="s">
        <v>62</v>
      </c>
      <c r="H211">
        <v>18163</v>
      </c>
      <c r="I211" t="str">
        <f t="shared" si="12"/>
        <v>HREmp_209</v>
      </c>
      <c r="J211" t="str">
        <f t="shared" si="13"/>
        <v>MaleHRBangalore18163</v>
      </c>
      <c r="K211" t="str">
        <f t="shared" si="14"/>
        <v>28MobileBangalore</v>
      </c>
      <c r="L211" t="str">
        <f t="shared" si="15"/>
        <v>18163Mobile</v>
      </c>
    </row>
    <row r="212" spans="1:12" x14ac:dyDescent="0.3">
      <c r="A212" t="s">
        <v>445</v>
      </c>
      <c r="B212" t="s">
        <v>446</v>
      </c>
      <c r="C212" t="s">
        <v>44</v>
      </c>
      <c r="D212" t="s">
        <v>21</v>
      </c>
      <c r="E212" t="s">
        <v>12</v>
      </c>
      <c r="F212">
        <v>27</v>
      </c>
      <c r="G212" t="s">
        <v>62</v>
      </c>
      <c r="H212">
        <v>36392</v>
      </c>
      <c r="I212" t="str">
        <f t="shared" si="12"/>
        <v>ITEmp_210</v>
      </c>
      <c r="J212" t="str">
        <f t="shared" si="13"/>
        <v>FemaleITBangalore36392</v>
      </c>
      <c r="K212" t="str">
        <f t="shared" si="14"/>
        <v>27MobileBangalore</v>
      </c>
      <c r="L212" t="str">
        <f t="shared" si="15"/>
        <v>36392Mobile</v>
      </c>
    </row>
    <row r="213" spans="1:12" x14ac:dyDescent="0.3">
      <c r="A213" t="s">
        <v>447</v>
      </c>
      <c r="B213" t="s">
        <v>448</v>
      </c>
      <c r="C213" t="s">
        <v>24</v>
      </c>
      <c r="D213" t="s">
        <v>11</v>
      </c>
      <c r="E213" t="s">
        <v>26</v>
      </c>
      <c r="F213">
        <v>42</v>
      </c>
      <c r="G213" t="s">
        <v>17</v>
      </c>
      <c r="H213">
        <v>25590</v>
      </c>
      <c r="I213" t="str">
        <f t="shared" si="12"/>
        <v>FinanceEmp_211</v>
      </c>
      <c r="J213" t="str">
        <f t="shared" si="13"/>
        <v>MaleFinanceDelhi25590</v>
      </c>
      <c r="K213" t="str">
        <f t="shared" si="14"/>
        <v>42PrinterDelhi</v>
      </c>
      <c r="L213" t="str">
        <f t="shared" si="15"/>
        <v>25590Printer</v>
      </c>
    </row>
    <row r="214" spans="1:12" x14ac:dyDescent="0.3">
      <c r="A214" t="s">
        <v>449</v>
      </c>
      <c r="B214" t="s">
        <v>450</v>
      </c>
      <c r="C214" t="s">
        <v>37</v>
      </c>
      <c r="D214" t="s">
        <v>16</v>
      </c>
      <c r="E214" t="s">
        <v>26</v>
      </c>
      <c r="F214">
        <v>40</v>
      </c>
      <c r="G214" t="s">
        <v>62</v>
      </c>
      <c r="H214">
        <v>16641</v>
      </c>
      <c r="I214" t="str">
        <f t="shared" si="12"/>
        <v>MarketingEmp_212</v>
      </c>
      <c r="J214" t="str">
        <f t="shared" si="13"/>
        <v>MaleMarketingMumbai16641</v>
      </c>
      <c r="K214" t="str">
        <f t="shared" si="14"/>
        <v>40MobileMumbai</v>
      </c>
      <c r="L214" t="str">
        <f t="shared" si="15"/>
        <v>16641Mobile</v>
      </c>
    </row>
    <row r="215" spans="1:12" x14ac:dyDescent="0.3">
      <c r="A215" t="s">
        <v>451</v>
      </c>
      <c r="B215" t="s">
        <v>452</v>
      </c>
      <c r="C215" t="s">
        <v>24</v>
      </c>
      <c r="D215" t="s">
        <v>21</v>
      </c>
      <c r="E215" t="s">
        <v>12</v>
      </c>
      <c r="F215">
        <v>41</v>
      </c>
      <c r="G215" t="s">
        <v>17</v>
      </c>
      <c r="H215">
        <v>31099</v>
      </c>
      <c r="I215" t="str">
        <f t="shared" si="12"/>
        <v>FinanceEmp_213</v>
      </c>
      <c r="J215" t="str">
        <f t="shared" si="13"/>
        <v>FemaleFinanceBangalore31099</v>
      </c>
      <c r="K215" t="str">
        <f t="shared" si="14"/>
        <v>41PrinterBangalore</v>
      </c>
      <c r="L215" t="str">
        <f t="shared" si="15"/>
        <v>31099Printer</v>
      </c>
    </row>
    <row r="216" spans="1:12" x14ac:dyDescent="0.3">
      <c r="A216" t="s">
        <v>453</v>
      </c>
      <c r="B216" t="s">
        <v>454</v>
      </c>
      <c r="C216" t="s">
        <v>37</v>
      </c>
      <c r="D216" t="s">
        <v>55</v>
      </c>
      <c r="E216" t="s">
        <v>26</v>
      </c>
      <c r="F216">
        <v>50</v>
      </c>
      <c r="G216" t="s">
        <v>13</v>
      </c>
      <c r="H216">
        <v>25915</v>
      </c>
      <c r="I216" t="str">
        <f t="shared" si="12"/>
        <v>MarketingEmp_214</v>
      </c>
      <c r="J216" t="str">
        <f t="shared" si="13"/>
        <v>MaleMarketingHyderabad25915</v>
      </c>
      <c r="K216" t="str">
        <f t="shared" si="14"/>
        <v>50MonitorHyderabad</v>
      </c>
      <c r="L216" t="str">
        <f t="shared" si="15"/>
        <v>25915Monitor</v>
      </c>
    </row>
    <row r="217" spans="1:12" x14ac:dyDescent="0.3">
      <c r="A217" t="s">
        <v>455</v>
      </c>
      <c r="B217" t="s">
        <v>456</v>
      </c>
      <c r="C217" t="s">
        <v>37</v>
      </c>
      <c r="D217" t="s">
        <v>11</v>
      </c>
      <c r="E217" t="s">
        <v>26</v>
      </c>
      <c r="F217">
        <v>60</v>
      </c>
      <c r="G217" t="s">
        <v>27</v>
      </c>
      <c r="H217">
        <v>24100</v>
      </c>
      <c r="I217" t="str">
        <f t="shared" si="12"/>
        <v>MarketingEmp_215</v>
      </c>
      <c r="J217" t="str">
        <f t="shared" si="13"/>
        <v>MaleMarketingDelhi24100</v>
      </c>
      <c r="K217" t="str">
        <f t="shared" si="14"/>
        <v>60TabletDelhi</v>
      </c>
      <c r="L217" t="str">
        <f t="shared" si="15"/>
        <v>24100Tablet</v>
      </c>
    </row>
    <row r="218" spans="1:12" x14ac:dyDescent="0.3">
      <c r="A218" t="s">
        <v>457</v>
      </c>
      <c r="B218" t="s">
        <v>458</v>
      </c>
      <c r="C218" t="s">
        <v>44</v>
      </c>
      <c r="D218" t="s">
        <v>55</v>
      </c>
      <c r="E218" t="s">
        <v>12</v>
      </c>
      <c r="F218">
        <v>49</v>
      </c>
      <c r="G218" t="s">
        <v>17</v>
      </c>
      <c r="H218">
        <v>46477</v>
      </c>
      <c r="I218" t="str">
        <f t="shared" si="12"/>
        <v>ITEmp_216</v>
      </c>
      <c r="J218" t="str">
        <f t="shared" si="13"/>
        <v>FemaleITHyderabad46477</v>
      </c>
      <c r="K218" t="str">
        <f t="shared" si="14"/>
        <v>49PrinterHyderabad</v>
      </c>
      <c r="L218" t="str">
        <f t="shared" si="15"/>
        <v>46477Printer</v>
      </c>
    </row>
    <row r="219" spans="1:12" x14ac:dyDescent="0.3">
      <c r="A219" t="s">
        <v>459</v>
      </c>
      <c r="B219" t="s">
        <v>460</v>
      </c>
      <c r="C219" t="s">
        <v>24</v>
      </c>
      <c r="D219" t="s">
        <v>25</v>
      </c>
      <c r="E219" t="s">
        <v>26</v>
      </c>
      <c r="F219">
        <v>32</v>
      </c>
      <c r="G219" t="s">
        <v>13</v>
      </c>
      <c r="H219">
        <v>37178</v>
      </c>
      <c r="I219" t="str">
        <f t="shared" si="12"/>
        <v>FinanceEmp_217</v>
      </c>
      <c r="J219" t="str">
        <f t="shared" si="13"/>
        <v>MaleFinancePune37178</v>
      </c>
      <c r="K219" t="str">
        <f t="shared" si="14"/>
        <v>32MonitorPune</v>
      </c>
      <c r="L219" t="str">
        <f t="shared" si="15"/>
        <v>37178Monitor</v>
      </c>
    </row>
    <row r="220" spans="1:12" x14ac:dyDescent="0.3">
      <c r="A220" t="s">
        <v>461</v>
      </c>
      <c r="B220" t="s">
        <v>462</v>
      </c>
      <c r="C220" t="s">
        <v>44</v>
      </c>
      <c r="D220" t="s">
        <v>25</v>
      </c>
      <c r="E220" t="s">
        <v>26</v>
      </c>
      <c r="F220">
        <v>50</v>
      </c>
      <c r="G220" t="s">
        <v>17</v>
      </c>
      <c r="H220">
        <v>42740</v>
      </c>
      <c r="I220" t="str">
        <f t="shared" si="12"/>
        <v>ITEmp_218</v>
      </c>
      <c r="J220" t="str">
        <f t="shared" si="13"/>
        <v>MaleITPune42740</v>
      </c>
      <c r="K220" t="str">
        <f t="shared" si="14"/>
        <v>50PrinterPune</v>
      </c>
      <c r="L220" t="str">
        <f t="shared" si="15"/>
        <v>42740Printer</v>
      </c>
    </row>
    <row r="221" spans="1:12" x14ac:dyDescent="0.3">
      <c r="A221" t="s">
        <v>463</v>
      </c>
      <c r="B221" t="s">
        <v>464</v>
      </c>
      <c r="C221" t="s">
        <v>44</v>
      </c>
      <c r="D221" t="s">
        <v>55</v>
      </c>
      <c r="E221" t="s">
        <v>26</v>
      </c>
      <c r="F221">
        <v>44</v>
      </c>
      <c r="G221" t="s">
        <v>13</v>
      </c>
      <c r="H221">
        <v>20887</v>
      </c>
      <c r="I221" t="str">
        <f t="shared" si="12"/>
        <v>ITEmp_219</v>
      </c>
      <c r="J221" t="str">
        <f t="shared" si="13"/>
        <v>MaleITHyderabad20887</v>
      </c>
      <c r="K221" t="str">
        <f t="shared" si="14"/>
        <v>44MonitorHyderabad</v>
      </c>
      <c r="L221" t="str">
        <f t="shared" si="15"/>
        <v>20887Monitor</v>
      </c>
    </row>
    <row r="222" spans="1:12" x14ac:dyDescent="0.3">
      <c r="A222" t="s">
        <v>465</v>
      </c>
      <c r="B222" t="s">
        <v>466</v>
      </c>
      <c r="C222" t="s">
        <v>24</v>
      </c>
      <c r="D222" t="s">
        <v>21</v>
      </c>
      <c r="E222" t="s">
        <v>26</v>
      </c>
      <c r="F222">
        <v>50</v>
      </c>
      <c r="G222" t="s">
        <v>62</v>
      </c>
      <c r="H222">
        <v>26357</v>
      </c>
      <c r="I222" t="str">
        <f t="shared" si="12"/>
        <v>FinanceEmp_220</v>
      </c>
      <c r="J222" t="str">
        <f t="shared" si="13"/>
        <v>MaleFinanceBangalore26357</v>
      </c>
      <c r="K222" t="str">
        <f t="shared" si="14"/>
        <v>50MobileBangalore</v>
      </c>
      <c r="L222" t="str">
        <f t="shared" si="15"/>
        <v>26357Mobile</v>
      </c>
    </row>
    <row r="223" spans="1:12" x14ac:dyDescent="0.3">
      <c r="A223" t="s">
        <v>467</v>
      </c>
      <c r="B223" t="s">
        <v>468</v>
      </c>
      <c r="C223" t="s">
        <v>10</v>
      </c>
      <c r="D223" t="s">
        <v>16</v>
      </c>
      <c r="E223" t="s">
        <v>26</v>
      </c>
      <c r="F223">
        <v>24</v>
      </c>
      <c r="G223" t="s">
        <v>62</v>
      </c>
      <c r="H223">
        <v>29645</v>
      </c>
      <c r="I223" t="str">
        <f t="shared" si="12"/>
        <v>SalesEmp_221</v>
      </c>
      <c r="J223" t="str">
        <f t="shared" si="13"/>
        <v>MaleSalesMumbai29645</v>
      </c>
      <c r="K223" t="str">
        <f t="shared" si="14"/>
        <v>24MobileMumbai</v>
      </c>
      <c r="L223" t="str">
        <f t="shared" si="15"/>
        <v>29645Mobile</v>
      </c>
    </row>
    <row r="224" spans="1:12" x14ac:dyDescent="0.3">
      <c r="A224" t="s">
        <v>469</v>
      </c>
      <c r="B224" t="s">
        <v>470</v>
      </c>
      <c r="C224" t="s">
        <v>10</v>
      </c>
      <c r="D224" t="s">
        <v>55</v>
      </c>
      <c r="E224" t="s">
        <v>12</v>
      </c>
      <c r="F224">
        <v>44</v>
      </c>
      <c r="G224" t="s">
        <v>13</v>
      </c>
      <c r="H224">
        <v>23369</v>
      </c>
      <c r="I224" t="str">
        <f t="shared" si="12"/>
        <v>SalesEmp_222</v>
      </c>
      <c r="J224" t="str">
        <f t="shared" si="13"/>
        <v>FemaleSalesHyderabad23369</v>
      </c>
      <c r="K224" t="str">
        <f t="shared" si="14"/>
        <v>44MonitorHyderabad</v>
      </c>
      <c r="L224" t="str">
        <f t="shared" si="15"/>
        <v>23369Monitor</v>
      </c>
    </row>
    <row r="225" spans="1:12" x14ac:dyDescent="0.3">
      <c r="A225" t="s">
        <v>471</v>
      </c>
      <c r="B225" t="s">
        <v>472</v>
      </c>
      <c r="C225" t="s">
        <v>44</v>
      </c>
      <c r="D225" t="s">
        <v>21</v>
      </c>
      <c r="E225" t="s">
        <v>26</v>
      </c>
      <c r="F225">
        <v>49</v>
      </c>
      <c r="G225" t="s">
        <v>32</v>
      </c>
      <c r="H225">
        <v>30751</v>
      </c>
      <c r="I225" t="str">
        <f t="shared" si="12"/>
        <v>ITEmp_223</v>
      </c>
      <c r="J225" t="str">
        <f t="shared" si="13"/>
        <v>MaleITBangalore30751</v>
      </c>
      <c r="K225" t="str">
        <f t="shared" si="14"/>
        <v>49LaptopBangalore</v>
      </c>
      <c r="L225" t="str">
        <f t="shared" si="15"/>
        <v>30751Laptop</v>
      </c>
    </row>
    <row r="226" spans="1:12" x14ac:dyDescent="0.3">
      <c r="A226" t="s">
        <v>473</v>
      </c>
      <c r="B226" t="s">
        <v>474</v>
      </c>
      <c r="C226" t="s">
        <v>20</v>
      </c>
      <c r="D226" t="s">
        <v>11</v>
      </c>
      <c r="E226" t="s">
        <v>12</v>
      </c>
      <c r="F226">
        <v>39</v>
      </c>
      <c r="G226" t="s">
        <v>13</v>
      </c>
      <c r="H226">
        <v>28921</v>
      </c>
      <c r="I226" t="str">
        <f t="shared" si="12"/>
        <v>HREmp_224</v>
      </c>
      <c r="J226" t="str">
        <f t="shared" si="13"/>
        <v>FemaleHRDelhi28921</v>
      </c>
      <c r="K226" t="str">
        <f t="shared" si="14"/>
        <v>39MonitorDelhi</v>
      </c>
      <c r="L226" t="str">
        <f t="shared" si="15"/>
        <v>28921Monitor</v>
      </c>
    </row>
    <row r="227" spans="1:12" x14ac:dyDescent="0.3">
      <c r="A227" t="s">
        <v>475</v>
      </c>
      <c r="B227" t="s">
        <v>476</v>
      </c>
      <c r="C227" t="s">
        <v>44</v>
      </c>
      <c r="D227" t="s">
        <v>55</v>
      </c>
      <c r="E227" t="s">
        <v>26</v>
      </c>
      <c r="F227">
        <v>25</v>
      </c>
      <c r="G227" t="s">
        <v>17</v>
      </c>
      <c r="H227">
        <v>12463</v>
      </c>
      <c r="I227" t="str">
        <f t="shared" si="12"/>
        <v>ITEmp_225</v>
      </c>
      <c r="J227" t="str">
        <f t="shared" si="13"/>
        <v>MaleITHyderabad12463</v>
      </c>
      <c r="K227" t="str">
        <f t="shared" si="14"/>
        <v>25PrinterHyderabad</v>
      </c>
      <c r="L227" t="str">
        <f t="shared" si="15"/>
        <v>12463Printer</v>
      </c>
    </row>
    <row r="228" spans="1:12" x14ac:dyDescent="0.3">
      <c r="A228" t="s">
        <v>477</v>
      </c>
      <c r="B228" t="s">
        <v>478</v>
      </c>
      <c r="C228" t="s">
        <v>44</v>
      </c>
      <c r="D228" t="s">
        <v>11</v>
      </c>
      <c r="E228" t="s">
        <v>26</v>
      </c>
      <c r="F228">
        <v>26</v>
      </c>
      <c r="G228" t="s">
        <v>13</v>
      </c>
      <c r="H228">
        <v>41952</v>
      </c>
      <c r="I228" t="str">
        <f t="shared" si="12"/>
        <v>ITEmp_226</v>
      </c>
      <c r="J228" t="str">
        <f t="shared" si="13"/>
        <v>MaleITDelhi41952</v>
      </c>
      <c r="K228" t="str">
        <f t="shared" si="14"/>
        <v>26MonitorDelhi</v>
      </c>
      <c r="L228" t="str">
        <f t="shared" si="15"/>
        <v>41952Monitor</v>
      </c>
    </row>
    <row r="229" spans="1:12" x14ac:dyDescent="0.3">
      <c r="A229" t="s">
        <v>479</v>
      </c>
      <c r="B229" t="s">
        <v>480</v>
      </c>
      <c r="C229" t="s">
        <v>44</v>
      </c>
      <c r="D229" t="s">
        <v>21</v>
      </c>
      <c r="E229" t="s">
        <v>12</v>
      </c>
      <c r="F229">
        <v>47</v>
      </c>
      <c r="G229" t="s">
        <v>27</v>
      </c>
      <c r="H229">
        <v>18094</v>
      </c>
      <c r="I229" t="str">
        <f t="shared" si="12"/>
        <v>ITEmp_227</v>
      </c>
      <c r="J229" t="str">
        <f t="shared" si="13"/>
        <v>FemaleITBangalore18094</v>
      </c>
      <c r="K229" t="str">
        <f t="shared" si="14"/>
        <v>47TabletBangalore</v>
      </c>
      <c r="L229" t="str">
        <f t="shared" si="15"/>
        <v>18094Tablet</v>
      </c>
    </row>
    <row r="230" spans="1:12" x14ac:dyDescent="0.3">
      <c r="A230" t="s">
        <v>481</v>
      </c>
      <c r="B230" t="s">
        <v>482</v>
      </c>
      <c r="C230" t="s">
        <v>10</v>
      </c>
      <c r="D230" t="s">
        <v>21</v>
      </c>
      <c r="E230" t="s">
        <v>26</v>
      </c>
      <c r="F230">
        <v>45</v>
      </c>
      <c r="G230" t="s">
        <v>32</v>
      </c>
      <c r="H230">
        <v>43812</v>
      </c>
      <c r="I230" t="str">
        <f t="shared" si="12"/>
        <v>SalesEmp_228</v>
      </c>
      <c r="J230" t="str">
        <f t="shared" si="13"/>
        <v>MaleSalesBangalore43812</v>
      </c>
      <c r="K230" t="str">
        <f t="shared" si="14"/>
        <v>45LaptopBangalore</v>
      </c>
      <c r="L230" t="str">
        <f t="shared" si="15"/>
        <v>43812Laptop</v>
      </c>
    </row>
    <row r="231" spans="1:12" x14ac:dyDescent="0.3">
      <c r="A231" t="s">
        <v>483</v>
      </c>
      <c r="B231" t="s">
        <v>484</v>
      </c>
      <c r="C231" t="s">
        <v>10</v>
      </c>
      <c r="D231" t="s">
        <v>21</v>
      </c>
      <c r="E231" t="s">
        <v>26</v>
      </c>
      <c r="F231">
        <v>54</v>
      </c>
      <c r="G231" t="s">
        <v>13</v>
      </c>
      <c r="H231">
        <v>40758</v>
      </c>
      <c r="I231" t="str">
        <f t="shared" si="12"/>
        <v>SalesEmp_229</v>
      </c>
      <c r="J231" t="str">
        <f t="shared" si="13"/>
        <v>MaleSalesBangalore40758</v>
      </c>
      <c r="K231" t="str">
        <f t="shared" si="14"/>
        <v>54MonitorBangalore</v>
      </c>
      <c r="L231" t="str">
        <f t="shared" si="15"/>
        <v>40758Monitor</v>
      </c>
    </row>
    <row r="232" spans="1:12" x14ac:dyDescent="0.3">
      <c r="A232" t="s">
        <v>485</v>
      </c>
      <c r="B232" t="s">
        <v>486</v>
      </c>
      <c r="C232" t="s">
        <v>10</v>
      </c>
      <c r="D232" t="s">
        <v>21</v>
      </c>
      <c r="E232" t="s">
        <v>12</v>
      </c>
      <c r="F232">
        <v>32</v>
      </c>
      <c r="G232" t="s">
        <v>32</v>
      </c>
      <c r="H232">
        <v>16791</v>
      </c>
      <c r="I232" t="str">
        <f t="shared" si="12"/>
        <v>SalesEmp_230</v>
      </c>
      <c r="J232" t="str">
        <f t="shared" si="13"/>
        <v>FemaleSalesBangalore16791</v>
      </c>
      <c r="K232" t="str">
        <f t="shared" si="14"/>
        <v>32LaptopBangalore</v>
      </c>
      <c r="L232" t="str">
        <f t="shared" si="15"/>
        <v>16791Laptop</v>
      </c>
    </row>
    <row r="233" spans="1:12" x14ac:dyDescent="0.3">
      <c r="A233" t="s">
        <v>487</v>
      </c>
      <c r="B233" t="s">
        <v>488</v>
      </c>
      <c r="C233" t="s">
        <v>44</v>
      </c>
      <c r="D233" t="s">
        <v>25</v>
      </c>
      <c r="E233" t="s">
        <v>26</v>
      </c>
      <c r="F233">
        <v>23</v>
      </c>
      <c r="G233" t="s">
        <v>32</v>
      </c>
      <c r="H233">
        <v>49676</v>
      </c>
      <c r="I233" t="str">
        <f t="shared" si="12"/>
        <v>ITEmp_231</v>
      </c>
      <c r="J233" t="str">
        <f t="shared" si="13"/>
        <v>MaleITPune49676</v>
      </c>
      <c r="K233" t="str">
        <f t="shared" si="14"/>
        <v>23LaptopPune</v>
      </c>
      <c r="L233" t="str">
        <f t="shared" si="15"/>
        <v>49676Laptop</v>
      </c>
    </row>
    <row r="234" spans="1:12" x14ac:dyDescent="0.3">
      <c r="A234" t="s">
        <v>489</v>
      </c>
      <c r="B234" t="s">
        <v>490</v>
      </c>
      <c r="C234" t="s">
        <v>20</v>
      </c>
      <c r="D234" t="s">
        <v>21</v>
      </c>
      <c r="E234" t="s">
        <v>26</v>
      </c>
      <c r="F234">
        <v>31</v>
      </c>
      <c r="G234" t="s">
        <v>13</v>
      </c>
      <c r="H234">
        <v>41051</v>
      </c>
      <c r="I234" t="str">
        <f t="shared" si="12"/>
        <v>HREmp_232</v>
      </c>
      <c r="J234" t="str">
        <f t="shared" si="13"/>
        <v>MaleHRBangalore41051</v>
      </c>
      <c r="K234" t="str">
        <f t="shared" si="14"/>
        <v>31MonitorBangalore</v>
      </c>
      <c r="L234" t="str">
        <f t="shared" si="15"/>
        <v>41051Monitor</v>
      </c>
    </row>
    <row r="235" spans="1:12" x14ac:dyDescent="0.3">
      <c r="A235" t="s">
        <v>491</v>
      </c>
      <c r="B235" t="s">
        <v>492</v>
      </c>
      <c r="C235" t="s">
        <v>10</v>
      </c>
      <c r="D235" t="s">
        <v>25</v>
      </c>
      <c r="E235" t="s">
        <v>12</v>
      </c>
      <c r="F235">
        <v>60</v>
      </c>
      <c r="G235" t="s">
        <v>13</v>
      </c>
      <c r="H235">
        <v>6763</v>
      </c>
      <c r="I235" t="str">
        <f t="shared" si="12"/>
        <v>SalesEmp_233</v>
      </c>
      <c r="J235" t="str">
        <f t="shared" si="13"/>
        <v>FemaleSalesPune6763</v>
      </c>
      <c r="K235" t="str">
        <f t="shared" si="14"/>
        <v>60MonitorPune</v>
      </c>
      <c r="L235" t="str">
        <f t="shared" si="15"/>
        <v>6763Monitor</v>
      </c>
    </row>
    <row r="236" spans="1:12" x14ac:dyDescent="0.3">
      <c r="A236" t="s">
        <v>493</v>
      </c>
      <c r="B236" t="s">
        <v>494</v>
      </c>
      <c r="C236" t="s">
        <v>24</v>
      </c>
      <c r="D236" t="s">
        <v>16</v>
      </c>
      <c r="E236" t="s">
        <v>12</v>
      </c>
      <c r="F236">
        <v>50</v>
      </c>
      <c r="G236" t="s">
        <v>62</v>
      </c>
      <c r="H236">
        <v>35252</v>
      </c>
      <c r="I236" t="str">
        <f t="shared" si="12"/>
        <v>FinanceEmp_234</v>
      </c>
      <c r="J236" t="str">
        <f t="shared" si="13"/>
        <v>FemaleFinanceMumbai35252</v>
      </c>
      <c r="K236" t="str">
        <f t="shared" si="14"/>
        <v>50MobileMumbai</v>
      </c>
      <c r="L236" t="str">
        <f t="shared" si="15"/>
        <v>35252Mobile</v>
      </c>
    </row>
    <row r="237" spans="1:12" x14ac:dyDescent="0.3">
      <c r="A237" t="s">
        <v>495</v>
      </c>
      <c r="B237" t="s">
        <v>496</v>
      </c>
      <c r="C237" t="s">
        <v>24</v>
      </c>
      <c r="D237" t="s">
        <v>25</v>
      </c>
      <c r="E237" t="s">
        <v>12</v>
      </c>
      <c r="F237">
        <v>24</v>
      </c>
      <c r="G237" t="s">
        <v>13</v>
      </c>
      <c r="H237">
        <v>18739</v>
      </c>
      <c r="I237" t="str">
        <f t="shared" si="12"/>
        <v>FinanceEmp_235</v>
      </c>
      <c r="J237" t="str">
        <f t="shared" si="13"/>
        <v>FemaleFinancePune18739</v>
      </c>
      <c r="K237" t="str">
        <f t="shared" si="14"/>
        <v>24MonitorPune</v>
      </c>
      <c r="L237" t="str">
        <f t="shared" si="15"/>
        <v>18739Monitor</v>
      </c>
    </row>
    <row r="238" spans="1:12" x14ac:dyDescent="0.3">
      <c r="A238" t="s">
        <v>497</v>
      </c>
      <c r="B238" t="s">
        <v>498</v>
      </c>
      <c r="C238" t="s">
        <v>24</v>
      </c>
      <c r="D238" t="s">
        <v>11</v>
      </c>
      <c r="E238" t="s">
        <v>26</v>
      </c>
      <c r="F238">
        <v>30</v>
      </c>
      <c r="G238" t="s">
        <v>13</v>
      </c>
      <c r="H238">
        <v>33734</v>
      </c>
      <c r="I238" t="str">
        <f t="shared" si="12"/>
        <v>FinanceEmp_236</v>
      </c>
      <c r="J238" t="str">
        <f t="shared" si="13"/>
        <v>MaleFinanceDelhi33734</v>
      </c>
      <c r="K238" t="str">
        <f t="shared" si="14"/>
        <v>30MonitorDelhi</v>
      </c>
      <c r="L238" t="str">
        <f t="shared" si="15"/>
        <v>33734Monitor</v>
      </c>
    </row>
    <row r="239" spans="1:12" x14ac:dyDescent="0.3">
      <c r="A239" t="s">
        <v>499</v>
      </c>
      <c r="B239" t="s">
        <v>500</v>
      </c>
      <c r="C239" t="s">
        <v>37</v>
      </c>
      <c r="D239" t="s">
        <v>16</v>
      </c>
      <c r="E239" t="s">
        <v>12</v>
      </c>
      <c r="F239">
        <v>26</v>
      </c>
      <c r="G239" t="s">
        <v>62</v>
      </c>
      <c r="H239">
        <v>24092</v>
      </c>
      <c r="I239" t="str">
        <f t="shared" si="12"/>
        <v>MarketingEmp_237</v>
      </c>
      <c r="J239" t="str">
        <f t="shared" si="13"/>
        <v>FemaleMarketingMumbai24092</v>
      </c>
      <c r="K239" t="str">
        <f t="shared" si="14"/>
        <v>26MobileMumbai</v>
      </c>
      <c r="L239" t="str">
        <f t="shared" si="15"/>
        <v>24092Mobile</v>
      </c>
    </row>
    <row r="240" spans="1:12" x14ac:dyDescent="0.3">
      <c r="A240" t="s">
        <v>501</v>
      </c>
      <c r="B240" t="s">
        <v>502</v>
      </c>
      <c r="C240" t="s">
        <v>44</v>
      </c>
      <c r="D240" t="s">
        <v>11</v>
      </c>
      <c r="E240" t="s">
        <v>26</v>
      </c>
      <c r="F240">
        <v>37</v>
      </c>
      <c r="G240" t="s">
        <v>62</v>
      </c>
      <c r="H240">
        <v>9532</v>
      </c>
      <c r="I240" t="str">
        <f t="shared" si="12"/>
        <v>ITEmp_238</v>
      </c>
      <c r="J240" t="str">
        <f t="shared" si="13"/>
        <v>MaleITDelhi9532</v>
      </c>
      <c r="K240" t="str">
        <f t="shared" si="14"/>
        <v>37MobileDelhi</v>
      </c>
      <c r="L240" t="str">
        <f t="shared" si="15"/>
        <v>9532Mobile</v>
      </c>
    </row>
    <row r="241" spans="1:12" x14ac:dyDescent="0.3">
      <c r="A241" t="s">
        <v>503</v>
      </c>
      <c r="B241" t="s">
        <v>504</v>
      </c>
      <c r="C241" t="s">
        <v>24</v>
      </c>
      <c r="D241" t="s">
        <v>55</v>
      </c>
      <c r="E241" t="s">
        <v>26</v>
      </c>
      <c r="F241">
        <v>45</v>
      </c>
      <c r="G241" t="s">
        <v>27</v>
      </c>
      <c r="H241">
        <v>31813</v>
      </c>
      <c r="I241" t="str">
        <f t="shared" si="12"/>
        <v>FinanceEmp_239</v>
      </c>
      <c r="J241" t="str">
        <f t="shared" si="13"/>
        <v>MaleFinanceHyderabad31813</v>
      </c>
      <c r="K241" t="str">
        <f t="shared" si="14"/>
        <v>45TabletHyderabad</v>
      </c>
      <c r="L241" t="str">
        <f t="shared" si="15"/>
        <v>31813Tablet</v>
      </c>
    </row>
    <row r="242" spans="1:12" x14ac:dyDescent="0.3">
      <c r="A242" t="s">
        <v>505</v>
      </c>
      <c r="B242" t="s">
        <v>506</v>
      </c>
      <c r="C242" t="s">
        <v>44</v>
      </c>
      <c r="D242" t="s">
        <v>55</v>
      </c>
      <c r="E242" t="s">
        <v>12</v>
      </c>
      <c r="F242">
        <v>45</v>
      </c>
      <c r="G242" t="s">
        <v>13</v>
      </c>
      <c r="H242">
        <v>49104</v>
      </c>
      <c r="I242" t="str">
        <f t="shared" si="12"/>
        <v>ITEmp_240</v>
      </c>
      <c r="J242" t="str">
        <f t="shared" si="13"/>
        <v>FemaleITHyderabad49104</v>
      </c>
      <c r="K242" t="str">
        <f t="shared" si="14"/>
        <v>45MonitorHyderabad</v>
      </c>
      <c r="L242" t="str">
        <f t="shared" si="15"/>
        <v>49104Monitor</v>
      </c>
    </row>
    <row r="243" spans="1:12" x14ac:dyDescent="0.3">
      <c r="A243" t="s">
        <v>507</v>
      </c>
      <c r="B243" t="s">
        <v>508</v>
      </c>
      <c r="C243" t="s">
        <v>24</v>
      </c>
      <c r="D243" t="s">
        <v>25</v>
      </c>
      <c r="E243" t="s">
        <v>12</v>
      </c>
      <c r="F243">
        <v>46</v>
      </c>
      <c r="G243" t="s">
        <v>17</v>
      </c>
      <c r="H243">
        <v>37722</v>
      </c>
      <c r="I243" t="str">
        <f t="shared" si="12"/>
        <v>FinanceEmp_241</v>
      </c>
      <c r="J243" t="str">
        <f t="shared" si="13"/>
        <v>FemaleFinancePune37722</v>
      </c>
      <c r="K243" t="str">
        <f t="shared" si="14"/>
        <v>46PrinterPune</v>
      </c>
      <c r="L243" t="str">
        <f t="shared" si="15"/>
        <v>37722Printer</v>
      </c>
    </row>
    <row r="244" spans="1:12" x14ac:dyDescent="0.3">
      <c r="A244" t="s">
        <v>509</v>
      </c>
      <c r="B244" t="s">
        <v>510</v>
      </c>
      <c r="C244" t="s">
        <v>20</v>
      </c>
      <c r="D244" t="s">
        <v>11</v>
      </c>
      <c r="E244" t="s">
        <v>26</v>
      </c>
      <c r="F244">
        <v>58</v>
      </c>
      <c r="G244" t="s">
        <v>32</v>
      </c>
      <c r="H244">
        <v>14121</v>
      </c>
      <c r="I244" t="str">
        <f t="shared" si="12"/>
        <v>HREmp_242</v>
      </c>
      <c r="J244" t="str">
        <f t="shared" si="13"/>
        <v>MaleHRDelhi14121</v>
      </c>
      <c r="K244" t="str">
        <f t="shared" si="14"/>
        <v>58LaptopDelhi</v>
      </c>
      <c r="L244" t="str">
        <f t="shared" si="15"/>
        <v>14121Laptop</v>
      </c>
    </row>
    <row r="245" spans="1:12" x14ac:dyDescent="0.3">
      <c r="A245" t="s">
        <v>511</v>
      </c>
      <c r="B245" t="s">
        <v>512</v>
      </c>
      <c r="C245" t="s">
        <v>44</v>
      </c>
      <c r="D245" t="s">
        <v>55</v>
      </c>
      <c r="E245" t="s">
        <v>26</v>
      </c>
      <c r="F245">
        <v>24</v>
      </c>
      <c r="G245" t="s">
        <v>62</v>
      </c>
      <c r="H245">
        <v>46506</v>
      </c>
      <c r="I245" t="str">
        <f t="shared" si="12"/>
        <v>ITEmp_243</v>
      </c>
      <c r="J245" t="str">
        <f t="shared" si="13"/>
        <v>MaleITHyderabad46506</v>
      </c>
      <c r="K245" t="str">
        <f t="shared" si="14"/>
        <v>24MobileHyderabad</v>
      </c>
      <c r="L245" t="str">
        <f t="shared" si="15"/>
        <v>46506Mobile</v>
      </c>
    </row>
    <row r="246" spans="1:12" x14ac:dyDescent="0.3">
      <c r="A246" t="s">
        <v>513</v>
      </c>
      <c r="B246" t="s">
        <v>514</v>
      </c>
      <c r="C246" t="s">
        <v>24</v>
      </c>
      <c r="D246" t="s">
        <v>55</v>
      </c>
      <c r="E246" t="s">
        <v>12</v>
      </c>
      <c r="F246">
        <v>60</v>
      </c>
      <c r="G246" t="s">
        <v>13</v>
      </c>
      <c r="H246">
        <v>24846</v>
      </c>
      <c r="I246" t="str">
        <f t="shared" si="12"/>
        <v>FinanceEmp_244</v>
      </c>
      <c r="J246" t="str">
        <f t="shared" si="13"/>
        <v>FemaleFinanceHyderabad24846</v>
      </c>
      <c r="K246" t="str">
        <f t="shared" si="14"/>
        <v>60MonitorHyderabad</v>
      </c>
      <c r="L246" t="str">
        <f t="shared" si="15"/>
        <v>24846Monitor</v>
      </c>
    </row>
    <row r="247" spans="1:12" x14ac:dyDescent="0.3">
      <c r="A247" t="s">
        <v>515</v>
      </c>
      <c r="B247" t="s">
        <v>516</v>
      </c>
      <c r="C247" t="s">
        <v>10</v>
      </c>
      <c r="D247" t="s">
        <v>55</v>
      </c>
      <c r="E247" t="s">
        <v>12</v>
      </c>
      <c r="F247">
        <v>31</v>
      </c>
      <c r="G247" t="s">
        <v>17</v>
      </c>
      <c r="H247">
        <v>20861</v>
      </c>
      <c r="I247" t="str">
        <f t="shared" si="12"/>
        <v>SalesEmp_245</v>
      </c>
      <c r="J247" t="str">
        <f t="shared" si="13"/>
        <v>FemaleSalesHyderabad20861</v>
      </c>
      <c r="K247" t="str">
        <f t="shared" si="14"/>
        <v>31PrinterHyderabad</v>
      </c>
      <c r="L247" t="str">
        <f t="shared" si="15"/>
        <v>20861Printer</v>
      </c>
    </row>
    <row r="248" spans="1:12" x14ac:dyDescent="0.3">
      <c r="A248" t="s">
        <v>517</v>
      </c>
      <c r="B248" t="s">
        <v>518</v>
      </c>
      <c r="C248" t="s">
        <v>44</v>
      </c>
      <c r="D248" t="s">
        <v>16</v>
      </c>
      <c r="E248" t="s">
        <v>12</v>
      </c>
      <c r="F248">
        <v>50</v>
      </c>
      <c r="G248" t="s">
        <v>32</v>
      </c>
      <c r="H248">
        <v>21559</v>
      </c>
      <c r="I248" t="str">
        <f t="shared" si="12"/>
        <v>ITEmp_246</v>
      </c>
      <c r="J248" t="str">
        <f t="shared" si="13"/>
        <v>FemaleITMumbai21559</v>
      </c>
      <c r="K248" t="str">
        <f t="shared" si="14"/>
        <v>50LaptopMumbai</v>
      </c>
      <c r="L248" t="str">
        <f t="shared" si="15"/>
        <v>21559Laptop</v>
      </c>
    </row>
    <row r="249" spans="1:12" x14ac:dyDescent="0.3">
      <c r="A249" t="s">
        <v>519</v>
      </c>
      <c r="B249" t="s">
        <v>520</v>
      </c>
      <c r="C249" t="s">
        <v>37</v>
      </c>
      <c r="D249" t="s">
        <v>16</v>
      </c>
      <c r="E249" t="s">
        <v>26</v>
      </c>
      <c r="F249">
        <v>45</v>
      </c>
      <c r="G249" t="s">
        <v>13</v>
      </c>
      <c r="H249">
        <v>48166</v>
      </c>
      <c r="I249" t="str">
        <f t="shared" si="12"/>
        <v>MarketingEmp_247</v>
      </c>
      <c r="J249" t="str">
        <f t="shared" si="13"/>
        <v>MaleMarketingMumbai48166</v>
      </c>
      <c r="K249" t="str">
        <f t="shared" si="14"/>
        <v>45MonitorMumbai</v>
      </c>
      <c r="L249" t="str">
        <f t="shared" si="15"/>
        <v>48166Monitor</v>
      </c>
    </row>
    <row r="250" spans="1:12" x14ac:dyDescent="0.3">
      <c r="A250" t="s">
        <v>521</v>
      </c>
      <c r="B250" t="s">
        <v>522</v>
      </c>
      <c r="C250" t="s">
        <v>10</v>
      </c>
      <c r="D250" t="s">
        <v>21</v>
      </c>
      <c r="E250" t="s">
        <v>12</v>
      </c>
      <c r="F250">
        <v>45</v>
      </c>
      <c r="G250" t="s">
        <v>17</v>
      </c>
      <c r="H250">
        <v>15101</v>
      </c>
      <c r="I250" t="str">
        <f t="shared" si="12"/>
        <v>SalesEmp_248</v>
      </c>
      <c r="J250" t="str">
        <f t="shared" si="13"/>
        <v>FemaleSalesBangalore15101</v>
      </c>
      <c r="K250" t="str">
        <f t="shared" si="14"/>
        <v>45PrinterBangalore</v>
      </c>
      <c r="L250" t="str">
        <f t="shared" si="15"/>
        <v>15101Printer</v>
      </c>
    </row>
    <row r="251" spans="1:12" x14ac:dyDescent="0.3">
      <c r="A251" t="s">
        <v>523</v>
      </c>
      <c r="B251" t="s">
        <v>524</v>
      </c>
      <c r="C251" t="s">
        <v>10</v>
      </c>
      <c r="D251" t="s">
        <v>11</v>
      </c>
      <c r="E251" t="s">
        <v>12</v>
      </c>
      <c r="F251">
        <v>50</v>
      </c>
      <c r="G251" t="s">
        <v>32</v>
      </c>
      <c r="H251">
        <v>32730</v>
      </c>
      <c r="I251" t="str">
        <f t="shared" si="12"/>
        <v>SalesEmp_249</v>
      </c>
      <c r="J251" t="str">
        <f t="shared" si="13"/>
        <v>FemaleSalesDelhi32730</v>
      </c>
      <c r="K251" t="str">
        <f t="shared" si="14"/>
        <v>50LaptopDelhi</v>
      </c>
      <c r="L251" t="str">
        <f t="shared" si="15"/>
        <v>32730Laptop</v>
      </c>
    </row>
    <row r="252" spans="1:12" x14ac:dyDescent="0.3">
      <c r="A252" t="s">
        <v>525</v>
      </c>
      <c r="B252" t="s">
        <v>526</v>
      </c>
      <c r="C252" t="s">
        <v>37</v>
      </c>
      <c r="D252" t="s">
        <v>55</v>
      </c>
      <c r="E252" t="s">
        <v>26</v>
      </c>
      <c r="F252">
        <v>26</v>
      </c>
      <c r="G252" t="s">
        <v>17</v>
      </c>
      <c r="H252">
        <v>29706</v>
      </c>
      <c r="I252" t="str">
        <f t="shared" si="12"/>
        <v>MarketingEmp_250</v>
      </c>
      <c r="J252" t="str">
        <f t="shared" si="13"/>
        <v>MaleMarketingHyderabad29706</v>
      </c>
      <c r="K252" t="str">
        <f t="shared" si="14"/>
        <v>26PrinterHyderabad</v>
      </c>
      <c r="L252" t="str">
        <f t="shared" si="15"/>
        <v>29706Printer</v>
      </c>
    </row>
    <row r="253" spans="1:12" x14ac:dyDescent="0.3">
      <c r="A253" t="s">
        <v>527</v>
      </c>
      <c r="B253" t="s">
        <v>528</v>
      </c>
      <c r="C253" t="s">
        <v>10</v>
      </c>
      <c r="D253" t="s">
        <v>11</v>
      </c>
      <c r="E253" t="s">
        <v>26</v>
      </c>
      <c r="F253">
        <v>58</v>
      </c>
      <c r="G253" t="s">
        <v>62</v>
      </c>
      <c r="H253">
        <v>9847</v>
      </c>
      <c r="I253" t="str">
        <f t="shared" si="12"/>
        <v>SalesEmp_251</v>
      </c>
      <c r="J253" t="str">
        <f t="shared" si="13"/>
        <v>MaleSalesDelhi9847</v>
      </c>
      <c r="K253" t="str">
        <f t="shared" si="14"/>
        <v>58MobileDelhi</v>
      </c>
      <c r="L253" t="str">
        <f t="shared" si="15"/>
        <v>9847Mobile</v>
      </c>
    </row>
    <row r="254" spans="1:12" x14ac:dyDescent="0.3">
      <c r="A254" t="s">
        <v>529</v>
      </c>
      <c r="B254" t="s">
        <v>530</v>
      </c>
      <c r="C254" t="s">
        <v>10</v>
      </c>
      <c r="D254" t="s">
        <v>21</v>
      </c>
      <c r="E254" t="s">
        <v>12</v>
      </c>
      <c r="F254">
        <v>30</v>
      </c>
      <c r="G254" t="s">
        <v>13</v>
      </c>
      <c r="H254">
        <v>34430</v>
      </c>
      <c r="I254" t="str">
        <f t="shared" si="12"/>
        <v>SalesEmp_252</v>
      </c>
      <c r="J254" t="str">
        <f t="shared" si="13"/>
        <v>FemaleSalesBangalore34430</v>
      </c>
      <c r="K254" t="str">
        <f t="shared" si="14"/>
        <v>30MonitorBangalore</v>
      </c>
      <c r="L254" t="str">
        <f t="shared" si="15"/>
        <v>34430Monitor</v>
      </c>
    </row>
    <row r="255" spans="1:12" x14ac:dyDescent="0.3">
      <c r="A255" t="s">
        <v>531</v>
      </c>
      <c r="B255" t="s">
        <v>532</v>
      </c>
      <c r="C255" t="s">
        <v>24</v>
      </c>
      <c r="D255" t="s">
        <v>25</v>
      </c>
      <c r="E255" t="s">
        <v>26</v>
      </c>
      <c r="F255">
        <v>55</v>
      </c>
      <c r="G255" t="s">
        <v>17</v>
      </c>
      <c r="H255">
        <v>44186</v>
      </c>
      <c r="I255" t="str">
        <f t="shared" si="12"/>
        <v>FinanceEmp_253</v>
      </c>
      <c r="J255" t="str">
        <f t="shared" si="13"/>
        <v>MaleFinancePune44186</v>
      </c>
      <c r="K255" t="str">
        <f t="shared" si="14"/>
        <v>55PrinterPune</v>
      </c>
      <c r="L255" t="str">
        <f t="shared" si="15"/>
        <v>44186Printer</v>
      </c>
    </row>
    <row r="256" spans="1:12" x14ac:dyDescent="0.3">
      <c r="A256" t="s">
        <v>533</v>
      </c>
      <c r="B256" t="s">
        <v>534</v>
      </c>
      <c r="C256" t="s">
        <v>24</v>
      </c>
      <c r="D256" t="s">
        <v>21</v>
      </c>
      <c r="E256" t="s">
        <v>26</v>
      </c>
      <c r="F256">
        <v>45</v>
      </c>
      <c r="G256" t="s">
        <v>17</v>
      </c>
      <c r="H256">
        <v>36407</v>
      </c>
      <c r="I256" t="str">
        <f t="shared" si="12"/>
        <v>FinanceEmp_254</v>
      </c>
      <c r="J256" t="str">
        <f t="shared" si="13"/>
        <v>MaleFinanceBangalore36407</v>
      </c>
      <c r="K256" t="str">
        <f t="shared" si="14"/>
        <v>45PrinterBangalore</v>
      </c>
      <c r="L256" t="str">
        <f t="shared" si="15"/>
        <v>36407Printer</v>
      </c>
    </row>
    <row r="257" spans="1:12" x14ac:dyDescent="0.3">
      <c r="A257" t="s">
        <v>535</v>
      </c>
      <c r="B257" t="s">
        <v>536</v>
      </c>
      <c r="C257" t="s">
        <v>44</v>
      </c>
      <c r="D257" t="s">
        <v>55</v>
      </c>
      <c r="E257" t="s">
        <v>26</v>
      </c>
      <c r="F257">
        <v>47</v>
      </c>
      <c r="G257" t="s">
        <v>13</v>
      </c>
      <c r="H257">
        <v>43157</v>
      </c>
      <c r="I257" t="str">
        <f t="shared" si="12"/>
        <v>ITEmp_255</v>
      </c>
      <c r="J257" t="str">
        <f t="shared" si="13"/>
        <v>MaleITHyderabad43157</v>
      </c>
      <c r="K257" t="str">
        <f t="shared" si="14"/>
        <v>47MonitorHyderabad</v>
      </c>
      <c r="L257" t="str">
        <f t="shared" si="15"/>
        <v>43157Monitor</v>
      </c>
    </row>
    <row r="258" spans="1:12" x14ac:dyDescent="0.3">
      <c r="A258" t="s">
        <v>537</v>
      </c>
      <c r="B258" t="s">
        <v>538</v>
      </c>
      <c r="C258" t="s">
        <v>44</v>
      </c>
      <c r="D258" t="s">
        <v>25</v>
      </c>
      <c r="E258" t="s">
        <v>12</v>
      </c>
      <c r="F258">
        <v>42</v>
      </c>
      <c r="G258" t="s">
        <v>32</v>
      </c>
      <c r="H258">
        <v>31267</v>
      </c>
      <c r="I258" t="str">
        <f t="shared" si="12"/>
        <v>ITEmp_256</v>
      </c>
      <c r="J258" t="str">
        <f t="shared" si="13"/>
        <v>FemaleITPune31267</v>
      </c>
      <c r="K258" t="str">
        <f t="shared" si="14"/>
        <v>42LaptopPune</v>
      </c>
      <c r="L258" t="str">
        <f t="shared" si="15"/>
        <v>31267Laptop</v>
      </c>
    </row>
    <row r="259" spans="1:12" x14ac:dyDescent="0.3">
      <c r="A259" t="s">
        <v>539</v>
      </c>
      <c r="B259" t="s">
        <v>540</v>
      </c>
      <c r="C259" t="s">
        <v>44</v>
      </c>
      <c r="D259" t="s">
        <v>25</v>
      </c>
      <c r="E259" t="s">
        <v>12</v>
      </c>
      <c r="F259">
        <v>39</v>
      </c>
      <c r="G259" t="s">
        <v>13</v>
      </c>
      <c r="H259">
        <v>40020</v>
      </c>
      <c r="I259" t="str">
        <f t="shared" ref="I259:I322" si="16">_xlfn.CONCAT(C259,B259)</f>
        <v>ITEmp_257</v>
      </c>
      <c r="J259" t="str">
        <f t="shared" ref="J259:J322" si="17">_xlfn.CONCAT(E259,C259,D259,H259)</f>
        <v>FemaleITPune40020</v>
      </c>
      <c r="K259" t="str">
        <f t="shared" ref="K259:K322" si="18">_xlfn.CONCAT(F259,G259,D259)</f>
        <v>39MonitorPune</v>
      </c>
      <c r="L259" t="str">
        <f t="shared" ref="L259:L322" si="19">_xlfn.CONCAT(H259,G259)</f>
        <v>40020Monitor</v>
      </c>
    </row>
    <row r="260" spans="1:12" x14ac:dyDescent="0.3">
      <c r="A260" t="s">
        <v>541</v>
      </c>
      <c r="B260" t="s">
        <v>542</v>
      </c>
      <c r="C260" t="s">
        <v>24</v>
      </c>
      <c r="D260" t="s">
        <v>21</v>
      </c>
      <c r="E260" t="s">
        <v>12</v>
      </c>
      <c r="F260">
        <v>37</v>
      </c>
      <c r="G260" t="s">
        <v>17</v>
      </c>
      <c r="H260">
        <v>38201</v>
      </c>
      <c r="I260" t="str">
        <f t="shared" si="16"/>
        <v>FinanceEmp_258</v>
      </c>
      <c r="J260" t="str">
        <f t="shared" si="17"/>
        <v>FemaleFinanceBangalore38201</v>
      </c>
      <c r="K260" t="str">
        <f t="shared" si="18"/>
        <v>37PrinterBangalore</v>
      </c>
      <c r="L260" t="str">
        <f t="shared" si="19"/>
        <v>38201Printer</v>
      </c>
    </row>
    <row r="261" spans="1:12" x14ac:dyDescent="0.3">
      <c r="A261" t="s">
        <v>543</v>
      </c>
      <c r="B261" t="s">
        <v>544</v>
      </c>
      <c r="C261" t="s">
        <v>44</v>
      </c>
      <c r="D261" t="s">
        <v>55</v>
      </c>
      <c r="E261" t="s">
        <v>12</v>
      </c>
      <c r="F261">
        <v>29</v>
      </c>
      <c r="G261" t="s">
        <v>27</v>
      </c>
      <c r="H261">
        <v>32413</v>
      </c>
      <c r="I261" t="str">
        <f t="shared" si="16"/>
        <v>ITEmp_259</v>
      </c>
      <c r="J261" t="str">
        <f t="shared" si="17"/>
        <v>FemaleITHyderabad32413</v>
      </c>
      <c r="K261" t="str">
        <f t="shared" si="18"/>
        <v>29TabletHyderabad</v>
      </c>
      <c r="L261" t="str">
        <f t="shared" si="19"/>
        <v>32413Tablet</v>
      </c>
    </row>
    <row r="262" spans="1:12" x14ac:dyDescent="0.3">
      <c r="A262" t="s">
        <v>545</v>
      </c>
      <c r="B262" t="s">
        <v>546</v>
      </c>
      <c r="C262" t="s">
        <v>10</v>
      </c>
      <c r="D262" t="s">
        <v>25</v>
      </c>
      <c r="E262" t="s">
        <v>12</v>
      </c>
      <c r="F262">
        <v>23</v>
      </c>
      <c r="G262" t="s">
        <v>32</v>
      </c>
      <c r="H262">
        <v>40628</v>
      </c>
      <c r="I262" t="str">
        <f t="shared" si="16"/>
        <v>SalesEmp_260</v>
      </c>
      <c r="J262" t="str">
        <f t="shared" si="17"/>
        <v>FemaleSalesPune40628</v>
      </c>
      <c r="K262" t="str">
        <f t="shared" si="18"/>
        <v>23LaptopPune</v>
      </c>
      <c r="L262" t="str">
        <f t="shared" si="19"/>
        <v>40628Laptop</v>
      </c>
    </row>
    <row r="263" spans="1:12" x14ac:dyDescent="0.3">
      <c r="A263" t="s">
        <v>547</v>
      </c>
      <c r="B263" t="s">
        <v>548</v>
      </c>
      <c r="C263" t="s">
        <v>24</v>
      </c>
      <c r="D263" t="s">
        <v>21</v>
      </c>
      <c r="E263" t="s">
        <v>12</v>
      </c>
      <c r="F263">
        <v>33</v>
      </c>
      <c r="G263" t="s">
        <v>17</v>
      </c>
      <c r="H263">
        <v>7409</v>
      </c>
      <c r="I263" t="str">
        <f t="shared" si="16"/>
        <v>FinanceEmp_261</v>
      </c>
      <c r="J263" t="str">
        <f t="shared" si="17"/>
        <v>FemaleFinanceBangalore7409</v>
      </c>
      <c r="K263" t="str">
        <f t="shared" si="18"/>
        <v>33PrinterBangalore</v>
      </c>
      <c r="L263" t="str">
        <f t="shared" si="19"/>
        <v>7409Printer</v>
      </c>
    </row>
    <row r="264" spans="1:12" x14ac:dyDescent="0.3">
      <c r="A264" t="s">
        <v>549</v>
      </c>
      <c r="B264" t="s">
        <v>550</v>
      </c>
      <c r="C264" t="s">
        <v>44</v>
      </c>
      <c r="D264" t="s">
        <v>21</v>
      </c>
      <c r="E264" t="s">
        <v>26</v>
      </c>
      <c r="F264">
        <v>53</v>
      </c>
      <c r="G264" t="s">
        <v>27</v>
      </c>
      <c r="H264">
        <v>28562</v>
      </c>
      <c r="I264" t="str">
        <f t="shared" si="16"/>
        <v>ITEmp_262</v>
      </c>
      <c r="J264" t="str">
        <f t="shared" si="17"/>
        <v>MaleITBangalore28562</v>
      </c>
      <c r="K264" t="str">
        <f t="shared" si="18"/>
        <v>53TabletBangalore</v>
      </c>
      <c r="L264" t="str">
        <f t="shared" si="19"/>
        <v>28562Tablet</v>
      </c>
    </row>
    <row r="265" spans="1:12" x14ac:dyDescent="0.3">
      <c r="A265" t="s">
        <v>551</v>
      </c>
      <c r="B265" t="s">
        <v>552</v>
      </c>
      <c r="C265" t="s">
        <v>10</v>
      </c>
      <c r="D265" t="s">
        <v>55</v>
      </c>
      <c r="E265" t="s">
        <v>26</v>
      </c>
      <c r="F265">
        <v>55</v>
      </c>
      <c r="G265" t="s">
        <v>32</v>
      </c>
      <c r="H265">
        <v>40186</v>
      </c>
      <c r="I265" t="str">
        <f t="shared" si="16"/>
        <v>SalesEmp_263</v>
      </c>
      <c r="J265" t="str">
        <f t="shared" si="17"/>
        <v>MaleSalesHyderabad40186</v>
      </c>
      <c r="K265" t="str">
        <f t="shared" si="18"/>
        <v>55LaptopHyderabad</v>
      </c>
      <c r="L265" t="str">
        <f t="shared" si="19"/>
        <v>40186Laptop</v>
      </c>
    </row>
    <row r="266" spans="1:12" x14ac:dyDescent="0.3">
      <c r="A266" t="s">
        <v>553</v>
      </c>
      <c r="B266" t="s">
        <v>554</v>
      </c>
      <c r="C266" t="s">
        <v>44</v>
      </c>
      <c r="D266" t="s">
        <v>21</v>
      </c>
      <c r="E266" t="s">
        <v>26</v>
      </c>
      <c r="F266">
        <v>46</v>
      </c>
      <c r="G266" t="s">
        <v>62</v>
      </c>
      <c r="H266">
        <v>43916</v>
      </c>
      <c r="I266" t="str">
        <f t="shared" si="16"/>
        <v>ITEmp_264</v>
      </c>
      <c r="J266" t="str">
        <f t="shared" si="17"/>
        <v>MaleITBangalore43916</v>
      </c>
      <c r="K266" t="str">
        <f t="shared" si="18"/>
        <v>46MobileBangalore</v>
      </c>
      <c r="L266" t="str">
        <f t="shared" si="19"/>
        <v>43916Mobile</v>
      </c>
    </row>
    <row r="267" spans="1:12" x14ac:dyDescent="0.3">
      <c r="A267" t="s">
        <v>555</v>
      </c>
      <c r="B267" t="s">
        <v>556</v>
      </c>
      <c r="C267" t="s">
        <v>20</v>
      </c>
      <c r="D267" t="s">
        <v>21</v>
      </c>
      <c r="E267" t="s">
        <v>12</v>
      </c>
      <c r="F267">
        <v>57</v>
      </c>
      <c r="G267" t="s">
        <v>13</v>
      </c>
      <c r="H267">
        <v>46823</v>
      </c>
      <c r="I267" t="str">
        <f t="shared" si="16"/>
        <v>HREmp_265</v>
      </c>
      <c r="J267" t="str">
        <f t="shared" si="17"/>
        <v>FemaleHRBangalore46823</v>
      </c>
      <c r="K267" t="str">
        <f t="shared" si="18"/>
        <v>57MonitorBangalore</v>
      </c>
      <c r="L267" t="str">
        <f t="shared" si="19"/>
        <v>46823Monitor</v>
      </c>
    </row>
    <row r="268" spans="1:12" x14ac:dyDescent="0.3">
      <c r="A268" t="s">
        <v>557</v>
      </c>
      <c r="B268" t="s">
        <v>558</v>
      </c>
      <c r="C268" t="s">
        <v>44</v>
      </c>
      <c r="D268" t="s">
        <v>21</v>
      </c>
      <c r="E268" t="s">
        <v>12</v>
      </c>
      <c r="F268">
        <v>29</v>
      </c>
      <c r="G268" t="s">
        <v>32</v>
      </c>
      <c r="H268">
        <v>10569</v>
      </c>
      <c r="I268" t="str">
        <f t="shared" si="16"/>
        <v>ITEmp_266</v>
      </c>
      <c r="J268" t="str">
        <f t="shared" si="17"/>
        <v>FemaleITBangalore10569</v>
      </c>
      <c r="K268" t="str">
        <f t="shared" si="18"/>
        <v>29LaptopBangalore</v>
      </c>
      <c r="L268" t="str">
        <f t="shared" si="19"/>
        <v>10569Laptop</v>
      </c>
    </row>
    <row r="269" spans="1:12" x14ac:dyDescent="0.3">
      <c r="A269" t="s">
        <v>559</v>
      </c>
      <c r="B269" t="s">
        <v>560</v>
      </c>
      <c r="C269" t="s">
        <v>20</v>
      </c>
      <c r="D269" t="s">
        <v>11</v>
      </c>
      <c r="E269" t="s">
        <v>26</v>
      </c>
      <c r="F269">
        <v>38</v>
      </c>
      <c r="G269" t="s">
        <v>32</v>
      </c>
      <c r="H269">
        <v>12167</v>
      </c>
      <c r="I269" t="str">
        <f t="shared" si="16"/>
        <v>HREmp_267</v>
      </c>
      <c r="J269" t="str">
        <f t="shared" si="17"/>
        <v>MaleHRDelhi12167</v>
      </c>
      <c r="K269" t="str">
        <f t="shared" si="18"/>
        <v>38LaptopDelhi</v>
      </c>
      <c r="L269" t="str">
        <f t="shared" si="19"/>
        <v>12167Laptop</v>
      </c>
    </row>
    <row r="270" spans="1:12" x14ac:dyDescent="0.3">
      <c r="A270" t="s">
        <v>561</v>
      </c>
      <c r="B270" t="s">
        <v>562</v>
      </c>
      <c r="C270" t="s">
        <v>44</v>
      </c>
      <c r="D270" t="s">
        <v>16</v>
      </c>
      <c r="E270" t="s">
        <v>12</v>
      </c>
      <c r="F270">
        <v>38</v>
      </c>
      <c r="G270" t="s">
        <v>17</v>
      </c>
      <c r="H270">
        <v>21268</v>
      </c>
      <c r="I270" t="str">
        <f t="shared" si="16"/>
        <v>ITEmp_268</v>
      </c>
      <c r="J270" t="str">
        <f t="shared" si="17"/>
        <v>FemaleITMumbai21268</v>
      </c>
      <c r="K270" t="str">
        <f t="shared" si="18"/>
        <v>38PrinterMumbai</v>
      </c>
      <c r="L270" t="str">
        <f t="shared" si="19"/>
        <v>21268Printer</v>
      </c>
    </row>
    <row r="271" spans="1:12" x14ac:dyDescent="0.3">
      <c r="A271" t="s">
        <v>563</v>
      </c>
      <c r="B271" t="s">
        <v>564</v>
      </c>
      <c r="C271" t="s">
        <v>37</v>
      </c>
      <c r="D271" t="s">
        <v>11</v>
      </c>
      <c r="E271" t="s">
        <v>12</v>
      </c>
      <c r="F271">
        <v>50</v>
      </c>
      <c r="G271" t="s">
        <v>27</v>
      </c>
      <c r="H271">
        <v>48096</v>
      </c>
      <c r="I271" t="str">
        <f t="shared" si="16"/>
        <v>MarketingEmp_269</v>
      </c>
      <c r="J271" t="str">
        <f t="shared" si="17"/>
        <v>FemaleMarketingDelhi48096</v>
      </c>
      <c r="K271" t="str">
        <f t="shared" si="18"/>
        <v>50TabletDelhi</v>
      </c>
      <c r="L271" t="str">
        <f t="shared" si="19"/>
        <v>48096Tablet</v>
      </c>
    </row>
    <row r="272" spans="1:12" x14ac:dyDescent="0.3">
      <c r="A272" t="s">
        <v>565</v>
      </c>
      <c r="B272" t="s">
        <v>566</v>
      </c>
      <c r="C272" t="s">
        <v>44</v>
      </c>
      <c r="D272" t="s">
        <v>21</v>
      </c>
      <c r="E272" t="s">
        <v>12</v>
      </c>
      <c r="F272">
        <v>35</v>
      </c>
      <c r="G272" t="s">
        <v>32</v>
      </c>
      <c r="H272">
        <v>48561</v>
      </c>
      <c r="I272" t="str">
        <f t="shared" si="16"/>
        <v>ITEmp_270</v>
      </c>
      <c r="J272" t="str">
        <f t="shared" si="17"/>
        <v>FemaleITBangalore48561</v>
      </c>
      <c r="K272" t="str">
        <f t="shared" si="18"/>
        <v>35LaptopBangalore</v>
      </c>
      <c r="L272" t="str">
        <f t="shared" si="19"/>
        <v>48561Laptop</v>
      </c>
    </row>
    <row r="273" spans="1:12" x14ac:dyDescent="0.3">
      <c r="A273" t="s">
        <v>567</v>
      </c>
      <c r="B273" t="s">
        <v>568</v>
      </c>
      <c r="C273" t="s">
        <v>24</v>
      </c>
      <c r="D273" t="s">
        <v>16</v>
      </c>
      <c r="E273" t="s">
        <v>12</v>
      </c>
      <c r="F273">
        <v>40</v>
      </c>
      <c r="G273" t="s">
        <v>13</v>
      </c>
      <c r="H273">
        <v>28265</v>
      </c>
      <c r="I273" t="str">
        <f t="shared" si="16"/>
        <v>FinanceEmp_271</v>
      </c>
      <c r="J273" t="str">
        <f t="shared" si="17"/>
        <v>FemaleFinanceMumbai28265</v>
      </c>
      <c r="K273" t="str">
        <f t="shared" si="18"/>
        <v>40MonitorMumbai</v>
      </c>
      <c r="L273" t="str">
        <f t="shared" si="19"/>
        <v>28265Monitor</v>
      </c>
    </row>
    <row r="274" spans="1:12" x14ac:dyDescent="0.3">
      <c r="A274" t="s">
        <v>569</v>
      </c>
      <c r="B274" t="s">
        <v>570</v>
      </c>
      <c r="C274" t="s">
        <v>24</v>
      </c>
      <c r="D274" t="s">
        <v>25</v>
      </c>
      <c r="E274" t="s">
        <v>12</v>
      </c>
      <c r="F274">
        <v>53</v>
      </c>
      <c r="G274" t="s">
        <v>32</v>
      </c>
      <c r="H274">
        <v>15901</v>
      </c>
      <c r="I274" t="str">
        <f t="shared" si="16"/>
        <v>FinanceEmp_272</v>
      </c>
      <c r="J274" t="str">
        <f t="shared" si="17"/>
        <v>FemaleFinancePune15901</v>
      </c>
      <c r="K274" t="str">
        <f t="shared" si="18"/>
        <v>53LaptopPune</v>
      </c>
      <c r="L274" t="str">
        <f t="shared" si="19"/>
        <v>15901Laptop</v>
      </c>
    </row>
    <row r="275" spans="1:12" x14ac:dyDescent="0.3">
      <c r="A275" t="s">
        <v>571</v>
      </c>
      <c r="B275" t="s">
        <v>572</v>
      </c>
      <c r="C275" t="s">
        <v>20</v>
      </c>
      <c r="D275" t="s">
        <v>11</v>
      </c>
      <c r="E275" t="s">
        <v>26</v>
      </c>
      <c r="F275">
        <v>34</v>
      </c>
      <c r="G275" t="s">
        <v>32</v>
      </c>
      <c r="H275">
        <v>47401</v>
      </c>
      <c r="I275" t="str">
        <f t="shared" si="16"/>
        <v>HREmp_273</v>
      </c>
      <c r="J275" t="str">
        <f t="shared" si="17"/>
        <v>MaleHRDelhi47401</v>
      </c>
      <c r="K275" t="str">
        <f t="shared" si="18"/>
        <v>34LaptopDelhi</v>
      </c>
      <c r="L275" t="str">
        <f t="shared" si="19"/>
        <v>47401Laptop</v>
      </c>
    </row>
    <row r="276" spans="1:12" x14ac:dyDescent="0.3">
      <c r="A276" t="s">
        <v>573</v>
      </c>
      <c r="B276" t="s">
        <v>574</v>
      </c>
      <c r="C276" t="s">
        <v>24</v>
      </c>
      <c r="D276" t="s">
        <v>11</v>
      </c>
      <c r="E276" t="s">
        <v>12</v>
      </c>
      <c r="F276">
        <v>29</v>
      </c>
      <c r="G276" t="s">
        <v>17</v>
      </c>
      <c r="H276">
        <v>45152</v>
      </c>
      <c r="I276" t="str">
        <f t="shared" si="16"/>
        <v>FinanceEmp_274</v>
      </c>
      <c r="J276" t="str">
        <f t="shared" si="17"/>
        <v>FemaleFinanceDelhi45152</v>
      </c>
      <c r="K276" t="str">
        <f t="shared" si="18"/>
        <v>29PrinterDelhi</v>
      </c>
      <c r="L276" t="str">
        <f t="shared" si="19"/>
        <v>45152Printer</v>
      </c>
    </row>
    <row r="277" spans="1:12" x14ac:dyDescent="0.3">
      <c r="A277" t="s">
        <v>575</v>
      </c>
      <c r="B277" t="s">
        <v>576</v>
      </c>
      <c r="C277" t="s">
        <v>10</v>
      </c>
      <c r="D277" t="s">
        <v>11</v>
      </c>
      <c r="E277" t="s">
        <v>12</v>
      </c>
      <c r="F277">
        <v>30</v>
      </c>
      <c r="G277" t="s">
        <v>32</v>
      </c>
      <c r="H277">
        <v>7903</v>
      </c>
      <c r="I277" t="str">
        <f t="shared" si="16"/>
        <v>SalesEmp_275</v>
      </c>
      <c r="J277" t="str">
        <f t="shared" si="17"/>
        <v>FemaleSalesDelhi7903</v>
      </c>
      <c r="K277" t="str">
        <f t="shared" si="18"/>
        <v>30LaptopDelhi</v>
      </c>
      <c r="L277" t="str">
        <f t="shared" si="19"/>
        <v>7903Laptop</v>
      </c>
    </row>
    <row r="278" spans="1:12" x14ac:dyDescent="0.3">
      <c r="A278" t="s">
        <v>577</v>
      </c>
      <c r="B278" t="s">
        <v>578</v>
      </c>
      <c r="C278" t="s">
        <v>37</v>
      </c>
      <c r="D278" t="s">
        <v>55</v>
      </c>
      <c r="E278" t="s">
        <v>12</v>
      </c>
      <c r="F278">
        <v>26</v>
      </c>
      <c r="G278" t="s">
        <v>27</v>
      </c>
      <c r="H278">
        <v>41911</v>
      </c>
      <c r="I278" t="str">
        <f t="shared" si="16"/>
        <v>MarketingEmp_276</v>
      </c>
      <c r="J278" t="str">
        <f t="shared" si="17"/>
        <v>FemaleMarketingHyderabad41911</v>
      </c>
      <c r="K278" t="str">
        <f t="shared" si="18"/>
        <v>26TabletHyderabad</v>
      </c>
      <c r="L278" t="str">
        <f t="shared" si="19"/>
        <v>41911Tablet</v>
      </c>
    </row>
    <row r="279" spans="1:12" x14ac:dyDescent="0.3">
      <c r="A279" t="s">
        <v>579</v>
      </c>
      <c r="B279" t="s">
        <v>580</v>
      </c>
      <c r="C279" t="s">
        <v>37</v>
      </c>
      <c r="D279" t="s">
        <v>21</v>
      </c>
      <c r="E279" t="s">
        <v>12</v>
      </c>
      <c r="F279">
        <v>50</v>
      </c>
      <c r="G279" t="s">
        <v>17</v>
      </c>
      <c r="H279">
        <v>47272</v>
      </c>
      <c r="I279" t="str">
        <f t="shared" si="16"/>
        <v>MarketingEmp_277</v>
      </c>
      <c r="J279" t="str">
        <f t="shared" si="17"/>
        <v>FemaleMarketingBangalore47272</v>
      </c>
      <c r="K279" t="str">
        <f t="shared" si="18"/>
        <v>50PrinterBangalore</v>
      </c>
      <c r="L279" t="str">
        <f t="shared" si="19"/>
        <v>47272Printer</v>
      </c>
    </row>
    <row r="280" spans="1:12" x14ac:dyDescent="0.3">
      <c r="A280" t="s">
        <v>581</v>
      </c>
      <c r="B280" t="s">
        <v>582</v>
      </c>
      <c r="C280" t="s">
        <v>10</v>
      </c>
      <c r="D280" t="s">
        <v>25</v>
      </c>
      <c r="E280" t="s">
        <v>12</v>
      </c>
      <c r="F280">
        <v>33</v>
      </c>
      <c r="G280" t="s">
        <v>62</v>
      </c>
      <c r="H280">
        <v>49398</v>
      </c>
      <c r="I280" t="str">
        <f t="shared" si="16"/>
        <v>SalesEmp_278</v>
      </c>
      <c r="J280" t="str">
        <f t="shared" si="17"/>
        <v>FemaleSalesPune49398</v>
      </c>
      <c r="K280" t="str">
        <f t="shared" si="18"/>
        <v>33MobilePune</v>
      </c>
      <c r="L280" t="str">
        <f t="shared" si="19"/>
        <v>49398Mobile</v>
      </c>
    </row>
    <row r="281" spans="1:12" x14ac:dyDescent="0.3">
      <c r="A281" t="s">
        <v>583</v>
      </c>
      <c r="B281" t="s">
        <v>584</v>
      </c>
      <c r="C281" t="s">
        <v>20</v>
      </c>
      <c r="D281" t="s">
        <v>25</v>
      </c>
      <c r="E281" t="s">
        <v>26</v>
      </c>
      <c r="F281">
        <v>50</v>
      </c>
      <c r="G281" t="s">
        <v>62</v>
      </c>
      <c r="H281">
        <v>47384</v>
      </c>
      <c r="I281" t="str">
        <f t="shared" si="16"/>
        <v>HREmp_279</v>
      </c>
      <c r="J281" t="str">
        <f t="shared" si="17"/>
        <v>MaleHRPune47384</v>
      </c>
      <c r="K281" t="str">
        <f t="shared" si="18"/>
        <v>50MobilePune</v>
      </c>
      <c r="L281" t="str">
        <f t="shared" si="19"/>
        <v>47384Mobile</v>
      </c>
    </row>
    <row r="282" spans="1:12" x14ac:dyDescent="0.3">
      <c r="A282" t="s">
        <v>585</v>
      </c>
      <c r="B282" t="s">
        <v>586</v>
      </c>
      <c r="C282" t="s">
        <v>10</v>
      </c>
      <c r="D282" t="s">
        <v>25</v>
      </c>
      <c r="E282" t="s">
        <v>12</v>
      </c>
      <c r="F282">
        <v>27</v>
      </c>
      <c r="G282" t="s">
        <v>17</v>
      </c>
      <c r="H282">
        <v>31189</v>
      </c>
      <c r="I282" t="str">
        <f t="shared" si="16"/>
        <v>SalesEmp_280</v>
      </c>
      <c r="J282" t="str">
        <f t="shared" si="17"/>
        <v>FemaleSalesPune31189</v>
      </c>
      <c r="K282" t="str">
        <f t="shared" si="18"/>
        <v>27PrinterPune</v>
      </c>
      <c r="L282" t="str">
        <f t="shared" si="19"/>
        <v>31189Printer</v>
      </c>
    </row>
    <row r="283" spans="1:12" x14ac:dyDescent="0.3">
      <c r="A283" t="s">
        <v>587</v>
      </c>
      <c r="B283" t="s">
        <v>588</v>
      </c>
      <c r="C283" t="s">
        <v>10</v>
      </c>
      <c r="D283" t="s">
        <v>21</v>
      </c>
      <c r="E283" t="s">
        <v>26</v>
      </c>
      <c r="F283">
        <v>42</v>
      </c>
      <c r="G283" t="s">
        <v>27</v>
      </c>
      <c r="H283">
        <v>26731</v>
      </c>
      <c r="I283" t="str">
        <f t="shared" si="16"/>
        <v>SalesEmp_281</v>
      </c>
      <c r="J283" t="str">
        <f t="shared" si="17"/>
        <v>MaleSalesBangalore26731</v>
      </c>
      <c r="K283" t="str">
        <f t="shared" si="18"/>
        <v>42TabletBangalore</v>
      </c>
      <c r="L283" t="str">
        <f t="shared" si="19"/>
        <v>26731Tablet</v>
      </c>
    </row>
    <row r="284" spans="1:12" x14ac:dyDescent="0.3">
      <c r="A284" t="s">
        <v>589</v>
      </c>
      <c r="B284" t="s">
        <v>590</v>
      </c>
      <c r="C284" t="s">
        <v>37</v>
      </c>
      <c r="D284" t="s">
        <v>16</v>
      </c>
      <c r="E284" t="s">
        <v>26</v>
      </c>
      <c r="F284">
        <v>44</v>
      </c>
      <c r="G284" t="s">
        <v>17</v>
      </c>
      <c r="H284">
        <v>33210</v>
      </c>
      <c r="I284" t="str">
        <f t="shared" si="16"/>
        <v>MarketingEmp_282</v>
      </c>
      <c r="J284" t="str">
        <f t="shared" si="17"/>
        <v>MaleMarketingMumbai33210</v>
      </c>
      <c r="K284" t="str">
        <f t="shared" si="18"/>
        <v>44PrinterMumbai</v>
      </c>
      <c r="L284" t="str">
        <f t="shared" si="19"/>
        <v>33210Printer</v>
      </c>
    </row>
    <row r="285" spans="1:12" x14ac:dyDescent="0.3">
      <c r="A285" t="s">
        <v>591</v>
      </c>
      <c r="B285" t="s">
        <v>592</v>
      </c>
      <c r="C285" t="s">
        <v>44</v>
      </c>
      <c r="D285" t="s">
        <v>11</v>
      </c>
      <c r="E285" t="s">
        <v>26</v>
      </c>
      <c r="F285">
        <v>26</v>
      </c>
      <c r="G285" t="s">
        <v>17</v>
      </c>
      <c r="H285">
        <v>11943</v>
      </c>
      <c r="I285" t="str">
        <f t="shared" si="16"/>
        <v>ITEmp_283</v>
      </c>
      <c r="J285" t="str">
        <f t="shared" si="17"/>
        <v>MaleITDelhi11943</v>
      </c>
      <c r="K285" t="str">
        <f t="shared" si="18"/>
        <v>26PrinterDelhi</v>
      </c>
      <c r="L285" t="str">
        <f t="shared" si="19"/>
        <v>11943Printer</v>
      </c>
    </row>
    <row r="286" spans="1:12" x14ac:dyDescent="0.3">
      <c r="A286" t="s">
        <v>593</v>
      </c>
      <c r="B286" t="s">
        <v>594</v>
      </c>
      <c r="C286" t="s">
        <v>37</v>
      </c>
      <c r="D286" t="s">
        <v>21</v>
      </c>
      <c r="E286" t="s">
        <v>26</v>
      </c>
      <c r="F286">
        <v>57</v>
      </c>
      <c r="G286" t="s">
        <v>17</v>
      </c>
      <c r="H286">
        <v>5691</v>
      </c>
      <c r="I286" t="str">
        <f t="shared" si="16"/>
        <v>MarketingEmp_284</v>
      </c>
      <c r="J286" t="str">
        <f t="shared" si="17"/>
        <v>MaleMarketingBangalore5691</v>
      </c>
      <c r="K286" t="str">
        <f t="shared" si="18"/>
        <v>57PrinterBangalore</v>
      </c>
      <c r="L286" t="str">
        <f t="shared" si="19"/>
        <v>5691Printer</v>
      </c>
    </row>
    <row r="287" spans="1:12" x14ac:dyDescent="0.3">
      <c r="A287" t="s">
        <v>595</v>
      </c>
      <c r="B287" t="s">
        <v>596</v>
      </c>
      <c r="C287" t="s">
        <v>37</v>
      </c>
      <c r="D287" t="s">
        <v>11</v>
      </c>
      <c r="E287" t="s">
        <v>12</v>
      </c>
      <c r="F287">
        <v>56</v>
      </c>
      <c r="G287" t="s">
        <v>17</v>
      </c>
      <c r="H287">
        <v>11462</v>
      </c>
      <c r="I287" t="str">
        <f t="shared" si="16"/>
        <v>MarketingEmp_285</v>
      </c>
      <c r="J287" t="str">
        <f t="shared" si="17"/>
        <v>FemaleMarketingDelhi11462</v>
      </c>
      <c r="K287" t="str">
        <f t="shared" si="18"/>
        <v>56PrinterDelhi</v>
      </c>
      <c r="L287" t="str">
        <f t="shared" si="19"/>
        <v>11462Printer</v>
      </c>
    </row>
    <row r="288" spans="1:12" x14ac:dyDescent="0.3">
      <c r="A288" t="s">
        <v>597</v>
      </c>
      <c r="B288" t="s">
        <v>598</v>
      </c>
      <c r="C288" t="s">
        <v>24</v>
      </c>
      <c r="D288" t="s">
        <v>21</v>
      </c>
      <c r="E288" t="s">
        <v>26</v>
      </c>
      <c r="F288">
        <v>40</v>
      </c>
      <c r="G288" t="s">
        <v>32</v>
      </c>
      <c r="H288">
        <v>21956</v>
      </c>
      <c r="I288" t="str">
        <f t="shared" si="16"/>
        <v>FinanceEmp_286</v>
      </c>
      <c r="J288" t="str">
        <f t="shared" si="17"/>
        <v>MaleFinanceBangalore21956</v>
      </c>
      <c r="K288" t="str">
        <f t="shared" si="18"/>
        <v>40LaptopBangalore</v>
      </c>
      <c r="L288" t="str">
        <f t="shared" si="19"/>
        <v>21956Laptop</v>
      </c>
    </row>
    <row r="289" spans="1:12" x14ac:dyDescent="0.3">
      <c r="A289" t="s">
        <v>599</v>
      </c>
      <c r="B289" t="s">
        <v>600</v>
      </c>
      <c r="C289" t="s">
        <v>10</v>
      </c>
      <c r="D289" t="s">
        <v>11</v>
      </c>
      <c r="E289" t="s">
        <v>12</v>
      </c>
      <c r="F289">
        <v>41</v>
      </c>
      <c r="G289" t="s">
        <v>13</v>
      </c>
      <c r="H289">
        <v>19549</v>
      </c>
      <c r="I289" t="str">
        <f t="shared" si="16"/>
        <v>SalesEmp_287</v>
      </c>
      <c r="J289" t="str">
        <f t="shared" si="17"/>
        <v>FemaleSalesDelhi19549</v>
      </c>
      <c r="K289" t="str">
        <f t="shared" si="18"/>
        <v>41MonitorDelhi</v>
      </c>
      <c r="L289" t="str">
        <f t="shared" si="19"/>
        <v>19549Monitor</v>
      </c>
    </row>
    <row r="290" spans="1:12" x14ac:dyDescent="0.3">
      <c r="A290" t="s">
        <v>601</v>
      </c>
      <c r="B290" t="s">
        <v>602</v>
      </c>
      <c r="C290" t="s">
        <v>37</v>
      </c>
      <c r="D290" t="s">
        <v>21</v>
      </c>
      <c r="E290" t="s">
        <v>26</v>
      </c>
      <c r="F290">
        <v>32</v>
      </c>
      <c r="G290" t="s">
        <v>62</v>
      </c>
      <c r="H290">
        <v>38467</v>
      </c>
      <c r="I290" t="str">
        <f t="shared" si="16"/>
        <v>MarketingEmp_288</v>
      </c>
      <c r="J290" t="str">
        <f t="shared" si="17"/>
        <v>MaleMarketingBangalore38467</v>
      </c>
      <c r="K290" t="str">
        <f t="shared" si="18"/>
        <v>32MobileBangalore</v>
      </c>
      <c r="L290" t="str">
        <f t="shared" si="19"/>
        <v>38467Mobile</v>
      </c>
    </row>
    <row r="291" spans="1:12" x14ac:dyDescent="0.3">
      <c r="A291" t="s">
        <v>603</v>
      </c>
      <c r="B291" t="s">
        <v>604</v>
      </c>
      <c r="C291" t="s">
        <v>10</v>
      </c>
      <c r="D291" t="s">
        <v>16</v>
      </c>
      <c r="E291" t="s">
        <v>26</v>
      </c>
      <c r="F291">
        <v>33</v>
      </c>
      <c r="G291" t="s">
        <v>27</v>
      </c>
      <c r="H291">
        <v>38999</v>
      </c>
      <c r="I291" t="str">
        <f t="shared" si="16"/>
        <v>SalesEmp_289</v>
      </c>
      <c r="J291" t="str">
        <f t="shared" si="17"/>
        <v>MaleSalesMumbai38999</v>
      </c>
      <c r="K291" t="str">
        <f t="shared" si="18"/>
        <v>33TabletMumbai</v>
      </c>
      <c r="L291" t="str">
        <f t="shared" si="19"/>
        <v>38999Tablet</v>
      </c>
    </row>
    <row r="292" spans="1:12" x14ac:dyDescent="0.3">
      <c r="A292" t="s">
        <v>605</v>
      </c>
      <c r="B292" t="s">
        <v>606</v>
      </c>
      <c r="C292" t="s">
        <v>24</v>
      </c>
      <c r="D292" t="s">
        <v>25</v>
      </c>
      <c r="E292" t="s">
        <v>12</v>
      </c>
      <c r="F292">
        <v>45</v>
      </c>
      <c r="G292" t="s">
        <v>32</v>
      </c>
      <c r="H292">
        <v>41568</v>
      </c>
      <c r="I292" t="str">
        <f t="shared" si="16"/>
        <v>FinanceEmp_290</v>
      </c>
      <c r="J292" t="str">
        <f t="shared" si="17"/>
        <v>FemaleFinancePune41568</v>
      </c>
      <c r="K292" t="str">
        <f t="shared" si="18"/>
        <v>45LaptopPune</v>
      </c>
      <c r="L292" t="str">
        <f t="shared" si="19"/>
        <v>41568Laptop</v>
      </c>
    </row>
    <row r="293" spans="1:12" x14ac:dyDescent="0.3">
      <c r="A293" t="s">
        <v>607</v>
      </c>
      <c r="B293" t="s">
        <v>608</v>
      </c>
      <c r="C293" t="s">
        <v>10</v>
      </c>
      <c r="D293" t="s">
        <v>11</v>
      </c>
      <c r="E293" t="s">
        <v>26</v>
      </c>
      <c r="F293">
        <v>54</v>
      </c>
      <c r="G293" t="s">
        <v>62</v>
      </c>
      <c r="H293">
        <v>43044</v>
      </c>
      <c r="I293" t="str">
        <f t="shared" si="16"/>
        <v>SalesEmp_291</v>
      </c>
      <c r="J293" t="str">
        <f t="shared" si="17"/>
        <v>MaleSalesDelhi43044</v>
      </c>
      <c r="K293" t="str">
        <f t="shared" si="18"/>
        <v>54MobileDelhi</v>
      </c>
      <c r="L293" t="str">
        <f t="shared" si="19"/>
        <v>43044Mobile</v>
      </c>
    </row>
    <row r="294" spans="1:12" x14ac:dyDescent="0.3">
      <c r="A294" t="s">
        <v>609</v>
      </c>
      <c r="B294" t="s">
        <v>610</v>
      </c>
      <c r="C294" t="s">
        <v>37</v>
      </c>
      <c r="D294" t="s">
        <v>21</v>
      </c>
      <c r="E294" t="s">
        <v>12</v>
      </c>
      <c r="F294">
        <v>36</v>
      </c>
      <c r="G294" t="s">
        <v>13</v>
      </c>
      <c r="H294">
        <v>42698</v>
      </c>
      <c r="I294" t="str">
        <f t="shared" si="16"/>
        <v>MarketingEmp_292</v>
      </c>
      <c r="J294" t="str">
        <f t="shared" si="17"/>
        <v>FemaleMarketingBangalore42698</v>
      </c>
      <c r="K294" t="str">
        <f t="shared" si="18"/>
        <v>36MonitorBangalore</v>
      </c>
      <c r="L294" t="str">
        <f t="shared" si="19"/>
        <v>42698Monitor</v>
      </c>
    </row>
    <row r="295" spans="1:12" x14ac:dyDescent="0.3">
      <c r="A295" t="s">
        <v>611</v>
      </c>
      <c r="B295" t="s">
        <v>612</v>
      </c>
      <c r="C295" t="s">
        <v>10</v>
      </c>
      <c r="D295" t="s">
        <v>16</v>
      </c>
      <c r="E295" t="s">
        <v>12</v>
      </c>
      <c r="F295">
        <v>29</v>
      </c>
      <c r="G295" t="s">
        <v>17</v>
      </c>
      <c r="H295">
        <v>19485</v>
      </c>
      <c r="I295" t="str">
        <f t="shared" si="16"/>
        <v>SalesEmp_293</v>
      </c>
      <c r="J295" t="str">
        <f t="shared" si="17"/>
        <v>FemaleSalesMumbai19485</v>
      </c>
      <c r="K295" t="str">
        <f t="shared" si="18"/>
        <v>29PrinterMumbai</v>
      </c>
      <c r="L295" t="str">
        <f t="shared" si="19"/>
        <v>19485Printer</v>
      </c>
    </row>
    <row r="296" spans="1:12" x14ac:dyDescent="0.3">
      <c r="A296" t="s">
        <v>613</v>
      </c>
      <c r="B296" t="s">
        <v>614</v>
      </c>
      <c r="C296" t="s">
        <v>24</v>
      </c>
      <c r="D296" t="s">
        <v>16</v>
      </c>
      <c r="E296" t="s">
        <v>12</v>
      </c>
      <c r="F296">
        <v>34</v>
      </c>
      <c r="G296" t="s">
        <v>13</v>
      </c>
      <c r="H296">
        <v>34214</v>
      </c>
      <c r="I296" t="str">
        <f t="shared" si="16"/>
        <v>FinanceEmp_294</v>
      </c>
      <c r="J296" t="str">
        <f t="shared" si="17"/>
        <v>FemaleFinanceMumbai34214</v>
      </c>
      <c r="K296" t="str">
        <f t="shared" si="18"/>
        <v>34MonitorMumbai</v>
      </c>
      <c r="L296" t="str">
        <f t="shared" si="19"/>
        <v>34214Monitor</v>
      </c>
    </row>
    <row r="297" spans="1:12" x14ac:dyDescent="0.3">
      <c r="A297" t="s">
        <v>615</v>
      </c>
      <c r="B297" t="s">
        <v>616</v>
      </c>
      <c r="C297" t="s">
        <v>44</v>
      </c>
      <c r="D297" t="s">
        <v>25</v>
      </c>
      <c r="E297" t="s">
        <v>26</v>
      </c>
      <c r="F297">
        <v>30</v>
      </c>
      <c r="G297" t="s">
        <v>62</v>
      </c>
      <c r="H297">
        <v>29518</v>
      </c>
      <c r="I297" t="str">
        <f t="shared" si="16"/>
        <v>ITEmp_295</v>
      </c>
      <c r="J297" t="str">
        <f t="shared" si="17"/>
        <v>MaleITPune29518</v>
      </c>
      <c r="K297" t="str">
        <f t="shared" si="18"/>
        <v>30MobilePune</v>
      </c>
      <c r="L297" t="str">
        <f t="shared" si="19"/>
        <v>29518Mobile</v>
      </c>
    </row>
    <row r="298" spans="1:12" x14ac:dyDescent="0.3">
      <c r="A298" t="s">
        <v>617</v>
      </c>
      <c r="B298" t="s">
        <v>618</v>
      </c>
      <c r="C298" t="s">
        <v>10</v>
      </c>
      <c r="D298" t="s">
        <v>21</v>
      </c>
      <c r="E298" t="s">
        <v>12</v>
      </c>
      <c r="F298">
        <v>37</v>
      </c>
      <c r="G298" t="s">
        <v>62</v>
      </c>
      <c r="H298">
        <v>30633</v>
      </c>
      <c r="I298" t="str">
        <f t="shared" si="16"/>
        <v>SalesEmp_296</v>
      </c>
      <c r="J298" t="str">
        <f t="shared" si="17"/>
        <v>FemaleSalesBangalore30633</v>
      </c>
      <c r="K298" t="str">
        <f t="shared" si="18"/>
        <v>37MobileBangalore</v>
      </c>
      <c r="L298" t="str">
        <f t="shared" si="19"/>
        <v>30633Mobile</v>
      </c>
    </row>
    <row r="299" spans="1:12" x14ac:dyDescent="0.3">
      <c r="A299" t="s">
        <v>619</v>
      </c>
      <c r="B299" t="s">
        <v>620</v>
      </c>
      <c r="C299" t="s">
        <v>37</v>
      </c>
      <c r="D299" t="s">
        <v>11</v>
      </c>
      <c r="E299" t="s">
        <v>12</v>
      </c>
      <c r="F299">
        <v>53</v>
      </c>
      <c r="G299" t="s">
        <v>32</v>
      </c>
      <c r="H299">
        <v>35347</v>
      </c>
      <c r="I299" t="str">
        <f t="shared" si="16"/>
        <v>MarketingEmp_297</v>
      </c>
      <c r="J299" t="str">
        <f t="shared" si="17"/>
        <v>FemaleMarketingDelhi35347</v>
      </c>
      <c r="K299" t="str">
        <f t="shared" si="18"/>
        <v>53LaptopDelhi</v>
      </c>
      <c r="L299" t="str">
        <f t="shared" si="19"/>
        <v>35347Laptop</v>
      </c>
    </row>
    <row r="300" spans="1:12" x14ac:dyDescent="0.3">
      <c r="A300" t="s">
        <v>621</v>
      </c>
      <c r="B300" t="s">
        <v>622</v>
      </c>
      <c r="C300" t="s">
        <v>24</v>
      </c>
      <c r="D300" t="s">
        <v>55</v>
      </c>
      <c r="E300" t="s">
        <v>12</v>
      </c>
      <c r="F300">
        <v>23</v>
      </c>
      <c r="G300" t="s">
        <v>32</v>
      </c>
      <c r="H300">
        <v>49535</v>
      </c>
      <c r="I300" t="str">
        <f t="shared" si="16"/>
        <v>FinanceEmp_298</v>
      </c>
      <c r="J300" t="str">
        <f t="shared" si="17"/>
        <v>FemaleFinanceHyderabad49535</v>
      </c>
      <c r="K300" t="str">
        <f t="shared" si="18"/>
        <v>23LaptopHyderabad</v>
      </c>
      <c r="L300" t="str">
        <f t="shared" si="19"/>
        <v>49535Laptop</v>
      </c>
    </row>
    <row r="301" spans="1:12" x14ac:dyDescent="0.3">
      <c r="A301" t="s">
        <v>623</v>
      </c>
      <c r="B301" t="s">
        <v>624</v>
      </c>
      <c r="C301" t="s">
        <v>37</v>
      </c>
      <c r="D301" t="s">
        <v>16</v>
      </c>
      <c r="E301" t="s">
        <v>26</v>
      </c>
      <c r="F301">
        <v>45</v>
      </c>
      <c r="G301" t="s">
        <v>27</v>
      </c>
      <c r="H301">
        <v>43573</v>
      </c>
      <c r="I301" t="str">
        <f t="shared" si="16"/>
        <v>MarketingEmp_299</v>
      </c>
      <c r="J301" t="str">
        <f t="shared" si="17"/>
        <v>MaleMarketingMumbai43573</v>
      </c>
      <c r="K301" t="str">
        <f t="shared" si="18"/>
        <v>45TabletMumbai</v>
      </c>
      <c r="L301" t="str">
        <f t="shared" si="19"/>
        <v>43573Tablet</v>
      </c>
    </row>
    <row r="302" spans="1:12" x14ac:dyDescent="0.3">
      <c r="A302" t="s">
        <v>625</v>
      </c>
      <c r="B302" t="s">
        <v>626</v>
      </c>
      <c r="C302" t="s">
        <v>37</v>
      </c>
      <c r="D302" t="s">
        <v>16</v>
      </c>
      <c r="E302" t="s">
        <v>26</v>
      </c>
      <c r="F302">
        <v>57</v>
      </c>
      <c r="G302" t="s">
        <v>17</v>
      </c>
      <c r="H302">
        <v>37798</v>
      </c>
      <c r="I302" t="str">
        <f t="shared" si="16"/>
        <v>MarketingEmp_300</v>
      </c>
      <c r="J302" t="str">
        <f t="shared" si="17"/>
        <v>MaleMarketingMumbai37798</v>
      </c>
      <c r="K302" t="str">
        <f t="shared" si="18"/>
        <v>57PrinterMumbai</v>
      </c>
      <c r="L302" t="str">
        <f t="shared" si="19"/>
        <v>37798Printer</v>
      </c>
    </row>
    <row r="303" spans="1:12" x14ac:dyDescent="0.3">
      <c r="A303" t="s">
        <v>627</v>
      </c>
      <c r="B303" t="s">
        <v>628</v>
      </c>
      <c r="C303" t="s">
        <v>10</v>
      </c>
      <c r="D303" t="s">
        <v>25</v>
      </c>
      <c r="E303" t="s">
        <v>26</v>
      </c>
      <c r="F303">
        <v>58</v>
      </c>
      <c r="G303" t="s">
        <v>13</v>
      </c>
      <c r="H303">
        <v>14879</v>
      </c>
      <c r="I303" t="str">
        <f t="shared" si="16"/>
        <v>SalesEmp_301</v>
      </c>
      <c r="J303" t="str">
        <f t="shared" si="17"/>
        <v>MaleSalesPune14879</v>
      </c>
      <c r="K303" t="str">
        <f t="shared" si="18"/>
        <v>58MonitorPune</v>
      </c>
      <c r="L303" t="str">
        <f t="shared" si="19"/>
        <v>14879Monitor</v>
      </c>
    </row>
    <row r="304" spans="1:12" x14ac:dyDescent="0.3">
      <c r="A304" t="s">
        <v>629</v>
      </c>
      <c r="B304" t="s">
        <v>630</v>
      </c>
      <c r="C304" t="s">
        <v>37</v>
      </c>
      <c r="D304" t="s">
        <v>21</v>
      </c>
      <c r="E304" t="s">
        <v>12</v>
      </c>
      <c r="F304">
        <v>45</v>
      </c>
      <c r="G304" t="s">
        <v>17</v>
      </c>
      <c r="H304">
        <v>27607</v>
      </c>
      <c r="I304" t="str">
        <f t="shared" si="16"/>
        <v>MarketingEmp_302</v>
      </c>
      <c r="J304" t="str">
        <f t="shared" si="17"/>
        <v>FemaleMarketingBangalore27607</v>
      </c>
      <c r="K304" t="str">
        <f t="shared" si="18"/>
        <v>45PrinterBangalore</v>
      </c>
      <c r="L304" t="str">
        <f t="shared" si="19"/>
        <v>27607Printer</v>
      </c>
    </row>
    <row r="305" spans="1:12" x14ac:dyDescent="0.3">
      <c r="A305" t="s">
        <v>631</v>
      </c>
      <c r="B305" t="s">
        <v>632</v>
      </c>
      <c r="C305" t="s">
        <v>10</v>
      </c>
      <c r="D305" t="s">
        <v>55</v>
      </c>
      <c r="E305" t="s">
        <v>26</v>
      </c>
      <c r="F305">
        <v>51</v>
      </c>
      <c r="G305" t="s">
        <v>13</v>
      </c>
      <c r="H305">
        <v>6609</v>
      </c>
      <c r="I305" t="str">
        <f t="shared" si="16"/>
        <v>SalesEmp_303</v>
      </c>
      <c r="J305" t="str">
        <f t="shared" si="17"/>
        <v>MaleSalesHyderabad6609</v>
      </c>
      <c r="K305" t="str">
        <f t="shared" si="18"/>
        <v>51MonitorHyderabad</v>
      </c>
      <c r="L305" t="str">
        <f t="shared" si="19"/>
        <v>6609Monitor</v>
      </c>
    </row>
    <row r="306" spans="1:12" x14ac:dyDescent="0.3">
      <c r="A306" t="s">
        <v>633</v>
      </c>
      <c r="B306" t="s">
        <v>634</v>
      </c>
      <c r="C306" t="s">
        <v>44</v>
      </c>
      <c r="D306" t="s">
        <v>55</v>
      </c>
      <c r="E306" t="s">
        <v>26</v>
      </c>
      <c r="F306">
        <v>57</v>
      </c>
      <c r="G306" t="s">
        <v>17</v>
      </c>
      <c r="H306">
        <v>36638</v>
      </c>
      <c r="I306" t="str">
        <f t="shared" si="16"/>
        <v>ITEmp_304</v>
      </c>
      <c r="J306" t="str">
        <f t="shared" si="17"/>
        <v>MaleITHyderabad36638</v>
      </c>
      <c r="K306" t="str">
        <f t="shared" si="18"/>
        <v>57PrinterHyderabad</v>
      </c>
      <c r="L306" t="str">
        <f t="shared" si="19"/>
        <v>36638Printer</v>
      </c>
    </row>
    <row r="307" spans="1:12" x14ac:dyDescent="0.3">
      <c r="A307" t="s">
        <v>635</v>
      </c>
      <c r="B307" t="s">
        <v>636</v>
      </c>
      <c r="C307" t="s">
        <v>37</v>
      </c>
      <c r="D307" t="s">
        <v>55</v>
      </c>
      <c r="E307" t="s">
        <v>12</v>
      </c>
      <c r="F307">
        <v>30</v>
      </c>
      <c r="G307" t="s">
        <v>62</v>
      </c>
      <c r="H307">
        <v>11851</v>
      </c>
      <c r="I307" t="str">
        <f t="shared" si="16"/>
        <v>MarketingEmp_305</v>
      </c>
      <c r="J307" t="str">
        <f t="shared" si="17"/>
        <v>FemaleMarketingHyderabad11851</v>
      </c>
      <c r="K307" t="str">
        <f t="shared" si="18"/>
        <v>30MobileHyderabad</v>
      </c>
      <c r="L307" t="str">
        <f t="shared" si="19"/>
        <v>11851Mobile</v>
      </c>
    </row>
    <row r="308" spans="1:12" x14ac:dyDescent="0.3">
      <c r="A308" t="s">
        <v>637</v>
      </c>
      <c r="B308" t="s">
        <v>638</v>
      </c>
      <c r="C308" t="s">
        <v>37</v>
      </c>
      <c r="D308" t="s">
        <v>21</v>
      </c>
      <c r="E308" t="s">
        <v>12</v>
      </c>
      <c r="F308">
        <v>27</v>
      </c>
      <c r="G308" t="s">
        <v>62</v>
      </c>
      <c r="H308">
        <v>24361</v>
      </c>
      <c r="I308" t="str">
        <f t="shared" si="16"/>
        <v>MarketingEmp_306</v>
      </c>
      <c r="J308" t="str">
        <f t="shared" si="17"/>
        <v>FemaleMarketingBangalore24361</v>
      </c>
      <c r="K308" t="str">
        <f t="shared" si="18"/>
        <v>27MobileBangalore</v>
      </c>
      <c r="L308" t="str">
        <f t="shared" si="19"/>
        <v>24361Mobile</v>
      </c>
    </row>
    <row r="309" spans="1:12" x14ac:dyDescent="0.3">
      <c r="A309" t="s">
        <v>639</v>
      </c>
      <c r="B309" t="s">
        <v>640</v>
      </c>
      <c r="C309" t="s">
        <v>37</v>
      </c>
      <c r="D309" t="s">
        <v>11</v>
      </c>
      <c r="E309" t="s">
        <v>26</v>
      </c>
      <c r="F309">
        <v>26</v>
      </c>
      <c r="G309" t="s">
        <v>17</v>
      </c>
      <c r="H309">
        <v>32261</v>
      </c>
      <c r="I309" t="str">
        <f t="shared" si="16"/>
        <v>MarketingEmp_307</v>
      </c>
      <c r="J309" t="str">
        <f t="shared" si="17"/>
        <v>MaleMarketingDelhi32261</v>
      </c>
      <c r="K309" t="str">
        <f t="shared" si="18"/>
        <v>26PrinterDelhi</v>
      </c>
      <c r="L309" t="str">
        <f t="shared" si="19"/>
        <v>32261Printer</v>
      </c>
    </row>
    <row r="310" spans="1:12" x14ac:dyDescent="0.3">
      <c r="A310" t="s">
        <v>641</v>
      </c>
      <c r="B310" t="s">
        <v>642</v>
      </c>
      <c r="C310" t="s">
        <v>20</v>
      </c>
      <c r="D310" t="s">
        <v>16</v>
      </c>
      <c r="E310" t="s">
        <v>12</v>
      </c>
      <c r="F310">
        <v>41</v>
      </c>
      <c r="G310" t="s">
        <v>27</v>
      </c>
      <c r="H310">
        <v>10626</v>
      </c>
      <c r="I310" t="str">
        <f t="shared" si="16"/>
        <v>HREmp_308</v>
      </c>
      <c r="J310" t="str">
        <f t="shared" si="17"/>
        <v>FemaleHRMumbai10626</v>
      </c>
      <c r="K310" t="str">
        <f t="shared" si="18"/>
        <v>41TabletMumbai</v>
      </c>
      <c r="L310" t="str">
        <f t="shared" si="19"/>
        <v>10626Tablet</v>
      </c>
    </row>
    <row r="311" spans="1:12" x14ac:dyDescent="0.3">
      <c r="A311" t="s">
        <v>643</v>
      </c>
      <c r="B311" t="s">
        <v>644</v>
      </c>
      <c r="C311" t="s">
        <v>20</v>
      </c>
      <c r="D311" t="s">
        <v>21</v>
      </c>
      <c r="E311" t="s">
        <v>26</v>
      </c>
      <c r="F311">
        <v>47</v>
      </c>
      <c r="G311" t="s">
        <v>62</v>
      </c>
      <c r="H311">
        <v>12606</v>
      </c>
      <c r="I311" t="str">
        <f t="shared" si="16"/>
        <v>HREmp_309</v>
      </c>
      <c r="J311" t="str">
        <f t="shared" si="17"/>
        <v>MaleHRBangalore12606</v>
      </c>
      <c r="K311" t="str">
        <f t="shared" si="18"/>
        <v>47MobileBangalore</v>
      </c>
      <c r="L311" t="str">
        <f t="shared" si="19"/>
        <v>12606Mobile</v>
      </c>
    </row>
    <row r="312" spans="1:12" x14ac:dyDescent="0.3">
      <c r="A312" t="s">
        <v>645</v>
      </c>
      <c r="B312" t="s">
        <v>646</v>
      </c>
      <c r="C312" t="s">
        <v>24</v>
      </c>
      <c r="D312" t="s">
        <v>55</v>
      </c>
      <c r="E312" t="s">
        <v>12</v>
      </c>
      <c r="F312">
        <v>52</v>
      </c>
      <c r="G312" t="s">
        <v>27</v>
      </c>
      <c r="H312">
        <v>14284</v>
      </c>
      <c r="I312" t="str">
        <f t="shared" si="16"/>
        <v>FinanceEmp_310</v>
      </c>
      <c r="J312" t="str">
        <f t="shared" si="17"/>
        <v>FemaleFinanceHyderabad14284</v>
      </c>
      <c r="K312" t="str">
        <f t="shared" si="18"/>
        <v>52TabletHyderabad</v>
      </c>
      <c r="L312" t="str">
        <f t="shared" si="19"/>
        <v>14284Tablet</v>
      </c>
    </row>
    <row r="313" spans="1:12" x14ac:dyDescent="0.3">
      <c r="A313" t="s">
        <v>647</v>
      </c>
      <c r="B313" t="s">
        <v>648</v>
      </c>
      <c r="C313" t="s">
        <v>20</v>
      </c>
      <c r="D313" t="s">
        <v>16</v>
      </c>
      <c r="E313" t="s">
        <v>26</v>
      </c>
      <c r="F313">
        <v>55</v>
      </c>
      <c r="G313" t="s">
        <v>62</v>
      </c>
      <c r="H313">
        <v>27828</v>
      </c>
      <c r="I313" t="str">
        <f t="shared" si="16"/>
        <v>HREmp_311</v>
      </c>
      <c r="J313" t="str">
        <f t="shared" si="17"/>
        <v>MaleHRMumbai27828</v>
      </c>
      <c r="K313" t="str">
        <f t="shared" si="18"/>
        <v>55MobileMumbai</v>
      </c>
      <c r="L313" t="str">
        <f t="shared" si="19"/>
        <v>27828Mobile</v>
      </c>
    </row>
    <row r="314" spans="1:12" x14ac:dyDescent="0.3">
      <c r="A314" t="s">
        <v>649</v>
      </c>
      <c r="B314" t="s">
        <v>650</v>
      </c>
      <c r="C314" t="s">
        <v>24</v>
      </c>
      <c r="D314" t="s">
        <v>16</v>
      </c>
      <c r="E314" t="s">
        <v>12</v>
      </c>
      <c r="F314">
        <v>48</v>
      </c>
      <c r="G314" t="s">
        <v>32</v>
      </c>
      <c r="H314">
        <v>25440</v>
      </c>
      <c r="I314" t="str">
        <f t="shared" si="16"/>
        <v>FinanceEmp_312</v>
      </c>
      <c r="J314" t="str">
        <f t="shared" si="17"/>
        <v>FemaleFinanceMumbai25440</v>
      </c>
      <c r="K314" t="str">
        <f t="shared" si="18"/>
        <v>48LaptopMumbai</v>
      </c>
      <c r="L314" t="str">
        <f t="shared" si="19"/>
        <v>25440Laptop</v>
      </c>
    </row>
    <row r="315" spans="1:12" x14ac:dyDescent="0.3">
      <c r="A315" t="s">
        <v>651</v>
      </c>
      <c r="B315" t="s">
        <v>652</v>
      </c>
      <c r="C315" t="s">
        <v>20</v>
      </c>
      <c r="D315" t="s">
        <v>55</v>
      </c>
      <c r="E315" t="s">
        <v>26</v>
      </c>
      <c r="F315">
        <v>48</v>
      </c>
      <c r="G315" t="s">
        <v>32</v>
      </c>
      <c r="H315">
        <v>27483</v>
      </c>
      <c r="I315" t="str">
        <f t="shared" si="16"/>
        <v>HREmp_313</v>
      </c>
      <c r="J315" t="str">
        <f t="shared" si="17"/>
        <v>MaleHRHyderabad27483</v>
      </c>
      <c r="K315" t="str">
        <f t="shared" si="18"/>
        <v>48LaptopHyderabad</v>
      </c>
      <c r="L315" t="str">
        <f t="shared" si="19"/>
        <v>27483Laptop</v>
      </c>
    </row>
    <row r="316" spans="1:12" x14ac:dyDescent="0.3">
      <c r="A316" t="s">
        <v>653</v>
      </c>
      <c r="B316" t="s">
        <v>654</v>
      </c>
      <c r="C316" t="s">
        <v>44</v>
      </c>
      <c r="D316" t="s">
        <v>55</v>
      </c>
      <c r="E316" t="s">
        <v>26</v>
      </c>
      <c r="F316">
        <v>58</v>
      </c>
      <c r="G316" t="s">
        <v>17</v>
      </c>
      <c r="H316">
        <v>34840</v>
      </c>
      <c r="I316" t="str">
        <f t="shared" si="16"/>
        <v>ITEmp_314</v>
      </c>
      <c r="J316" t="str">
        <f t="shared" si="17"/>
        <v>MaleITHyderabad34840</v>
      </c>
      <c r="K316" t="str">
        <f t="shared" si="18"/>
        <v>58PrinterHyderabad</v>
      </c>
      <c r="L316" t="str">
        <f t="shared" si="19"/>
        <v>34840Printer</v>
      </c>
    </row>
    <row r="317" spans="1:12" x14ac:dyDescent="0.3">
      <c r="A317" t="s">
        <v>655</v>
      </c>
      <c r="B317" t="s">
        <v>656</v>
      </c>
      <c r="C317" t="s">
        <v>24</v>
      </c>
      <c r="D317" t="s">
        <v>16</v>
      </c>
      <c r="E317" t="s">
        <v>12</v>
      </c>
      <c r="F317">
        <v>26</v>
      </c>
      <c r="G317" t="s">
        <v>13</v>
      </c>
      <c r="H317">
        <v>18557</v>
      </c>
      <c r="I317" t="str">
        <f t="shared" si="16"/>
        <v>FinanceEmp_315</v>
      </c>
      <c r="J317" t="str">
        <f t="shared" si="17"/>
        <v>FemaleFinanceMumbai18557</v>
      </c>
      <c r="K317" t="str">
        <f t="shared" si="18"/>
        <v>26MonitorMumbai</v>
      </c>
      <c r="L317" t="str">
        <f t="shared" si="19"/>
        <v>18557Monitor</v>
      </c>
    </row>
    <row r="318" spans="1:12" x14ac:dyDescent="0.3">
      <c r="A318" t="s">
        <v>657</v>
      </c>
      <c r="B318" t="s">
        <v>658</v>
      </c>
      <c r="C318" t="s">
        <v>20</v>
      </c>
      <c r="D318" t="s">
        <v>25</v>
      </c>
      <c r="E318" t="s">
        <v>12</v>
      </c>
      <c r="F318">
        <v>30</v>
      </c>
      <c r="G318" t="s">
        <v>32</v>
      </c>
      <c r="H318">
        <v>39151</v>
      </c>
      <c r="I318" t="str">
        <f t="shared" si="16"/>
        <v>HREmp_316</v>
      </c>
      <c r="J318" t="str">
        <f t="shared" si="17"/>
        <v>FemaleHRPune39151</v>
      </c>
      <c r="K318" t="str">
        <f t="shared" si="18"/>
        <v>30LaptopPune</v>
      </c>
      <c r="L318" t="str">
        <f t="shared" si="19"/>
        <v>39151Laptop</v>
      </c>
    </row>
    <row r="319" spans="1:12" x14ac:dyDescent="0.3">
      <c r="A319" t="s">
        <v>659</v>
      </c>
      <c r="B319" t="s">
        <v>660</v>
      </c>
      <c r="C319" t="s">
        <v>44</v>
      </c>
      <c r="D319" t="s">
        <v>16</v>
      </c>
      <c r="E319" t="s">
        <v>12</v>
      </c>
      <c r="F319">
        <v>42</v>
      </c>
      <c r="G319" t="s">
        <v>62</v>
      </c>
      <c r="H319">
        <v>36649</v>
      </c>
      <c r="I319" t="str">
        <f t="shared" si="16"/>
        <v>ITEmp_317</v>
      </c>
      <c r="J319" t="str">
        <f t="shared" si="17"/>
        <v>FemaleITMumbai36649</v>
      </c>
      <c r="K319" t="str">
        <f t="shared" si="18"/>
        <v>42MobileMumbai</v>
      </c>
      <c r="L319" t="str">
        <f t="shared" si="19"/>
        <v>36649Mobile</v>
      </c>
    </row>
    <row r="320" spans="1:12" x14ac:dyDescent="0.3">
      <c r="A320" t="s">
        <v>661</v>
      </c>
      <c r="B320" t="s">
        <v>662</v>
      </c>
      <c r="C320" t="s">
        <v>20</v>
      </c>
      <c r="D320" t="s">
        <v>11</v>
      </c>
      <c r="E320" t="s">
        <v>12</v>
      </c>
      <c r="F320">
        <v>26</v>
      </c>
      <c r="G320" t="s">
        <v>62</v>
      </c>
      <c r="H320">
        <v>27826</v>
      </c>
      <c r="I320" t="str">
        <f t="shared" si="16"/>
        <v>HREmp_318</v>
      </c>
      <c r="J320" t="str">
        <f t="shared" si="17"/>
        <v>FemaleHRDelhi27826</v>
      </c>
      <c r="K320" t="str">
        <f t="shared" si="18"/>
        <v>26MobileDelhi</v>
      </c>
      <c r="L320" t="str">
        <f t="shared" si="19"/>
        <v>27826Mobile</v>
      </c>
    </row>
    <row r="321" spans="1:12" x14ac:dyDescent="0.3">
      <c r="A321" t="s">
        <v>663</v>
      </c>
      <c r="B321" t="s">
        <v>664</v>
      </c>
      <c r="C321" t="s">
        <v>10</v>
      </c>
      <c r="D321" t="s">
        <v>11</v>
      </c>
      <c r="E321" t="s">
        <v>26</v>
      </c>
      <c r="F321">
        <v>50</v>
      </c>
      <c r="G321" t="s">
        <v>32</v>
      </c>
      <c r="H321">
        <v>36205</v>
      </c>
      <c r="I321" t="str">
        <f t="shared" si="16"/>
        <v>SalesEmp_319</v>
      </c>
      <c r="J321" t="str">
        <f t="shared" si="17"/>
        <v>MaleSalesDelhi36205</v>
      </c>
      <c r="K321" t="str">
        <f t="shared" si="18"/>
        <v>50LaptopDelhi</v>
      </c>
      <c r="L321" t="str">
        <f t="shared" si="19"/>
        <v>36205Laptop</v>
      </c>
    </row>
    <row r="322" spans="1:12" x14ac:dyDescent="0.3">
      <c r="A322" t="s">
        <v>665</v>
      </c>
      <c r="B322" t="s">
        <v>666</v>
      </c>
      <c r="C322" t="s">
        <v>10</v>
      </c>
      <c r="D322" t="s">
        <v>25</v>
      </c>
      <c r="E322" t="s">
        <v>26</v>
      </c>
      <c r="F322">
        <v>51</v>
      </c>
      <c r="G322" t="s">
        <v>32</v>
      </c>
      <c r="H322">
        <v>11397</v>
      </c>
      <c r="I322" t="str">
        <f t="shared" si="16"/>
        <v>SalesEmp_320</v>
      </c>
      <c r="J322" t="str">
        <f t="shared" si="17"/>
        <v>MaleSalesPune11397</v>
      </c>
      <c r="K322" t="str">
        <f t="shared" si="18"/>
        <v>51LaptopPune</v>
      </c>
      <c r="L322" t="str">
        <f t="shared" si="19"/>
        <v>11397Laptop</v>
      </c>
    </row>
    <row r="323" spans="1:12" x14ac:dyDescent="0.3">
      <c r="A323" t="s">
        <v>667</v>
      </c>
      <c r="B323" t="s">
        <v>668</v>
      </c>
      <c r="C323" t="s">
        <v>44</v>
      </c>
      <c r="D323" t="s">
        <v>21</v>
      </c>
      <c r="E323" t="s">
        <v>26</v>
      </c>
      <c r="F323">
        <v>55</v>
      </c>
      <c r="G323" t="s">
        <v>13</v>
      </c>
      <c r="H323">
        <v>33715</v>
      </c>
      <c r="I323" t="str">
        <f t="shared" ref="I323:I386" si="20">_xlfn.CONCAT(C323,B323)</f>
        <v>ITEmp_321</v>
      </c>
      <c r="J323" t="str">
        <f t="shared" ref="J323:J386" si="21">_xlfn.CONCAT(E323,C323,D323,H323)</f>
        <v>MaleITBangalore33715</v>
      </c>
      <c r="K323" t="str">
        <f t="shared" ref="K323:K386" si="22">_xlfn.CONCAT(F323,G323,D323)</f>
        <v>55MonitorBangalore</v>
      </c>
      <c r="L323" t="str">
        <f t="shared" ref="L323:L386" si="23">_xlfn.CONCAT(H323,G323)</f>
        <v>33715Monitor</v>
      </c>
    </row>
    <row r="324" spans="1:12" x14ac:dyDescent="0.3">
      <c r="A324" t="s">
        <v>669</v>
      </c>
      <c r="B324" t="s">
        <v>670</v>
      </c>
      <c r="C324" t="s">
        <v>37</v>
      </c>
      <c r="D324" t="s">
        <v>16</v>
      </c>
      <c r="E324" t="s">
        <v>12</v>
      </c>
      <c r="F324">
        <v>44</v>
      </c>
      <c r="G324" t="s">
        <v>32</v>
      </c>
      <c r="H324">
        <v>34651</v>
      </c>
      <c r="I324" t="str">
        <f t="shared" si="20"/>
        <v>MarketingEmp_322</v>
      </c>
      <c r="J324" t="str">
        <f t="shared" si="21"/>
        <v>FemaleMarketingMumbai34651</v>
      </c>
      <c r="K324" t="str">
        <f t="shared" si="22"/>
        <v>44LaptopMumbai</v>
      </c>
      <c r="L324" t="str">
        <f t="shared" si="23"/>
        <v>34651Laptop</v>
      </c>
    </row>
    <row r="325" spans="1:12" x14ac:dyDescent="0.3">
      <c r="A325" t="s">
        <v>671</v>
      </c>
      <c r="B325" t="s">
        <v>672</v>
      </c>
      <c r="C325" t="s">
        <v>37</v>
      </c>
      <c r="D325" t="s">
        <v>11</v>
      </c>
      <c r="E325" t="s">
        <v>26</v>
      </c>
      <c r="F325">
        <v>30</v>
      </c>
      <c r="G325" t="s">
        <v>17</v>
      </c>
      <c r="H325">
        <v>25900</v>
      </c>
      <c r="I325" t="str">
        <f t="shared" si="20"/>
        <v>MarketingEmp_323</v>
      </c>
      <c r="J325" t="str">
        <f t="shared" si="21"/>
        <v>MaleMarketingDelhi25900</v>
      </c>
      <c r="K325" t="str">
        <f t="shared" si="22"/>
        <v>30PrinterDelhi</v>
      </c>
      <c r="L325" t="str">
        <f t="shared" si="23"/>
        <v>25900Printer</v>
      </c>
    </row>
    <row r="326" spans="1:12" x14ac:dyDescent="0.3">
      <c r="A326" t="s">
        <v>673</v>
      </c>
      <c r="B326" t="s">
        <v>674</v>
      </c>
      <c r="C326" t="s">
        <v>10</v>
      </c>
      <c r="D326" t="s">
        <v>16</v>
      </c>
      <c r="E326" t="s">
        <v>26</v>
      </c>
      <c r="F326">
        <v>57</v>
      </c>
      <c r="G326" t="s">
        <v>13</v>
      </c>
      <c r="H326">
        <v>9402</v>
      </c>
      <c r="I326" t="str">
        <f t="shared" si="20"/>
        <v>SalesEmp_324</v>
      </c>
      <c r="J326" t="str">
        <f t="shared" si="21"/>
        <v>MaleSalesMumbai9402</v>
      </c>
      <c r="K326" t="str">
        <f t="shared" si="22"/>
        <v>57MonitorMumbai</v>
      </c>
      <c r="L326" t="str">
        <f t="shared" si="23"/>
        <v>9402Monitor</v>
      </c>
    </row>
    <row r="327" spans="1:12" x14ac:dyDescent="0.3">
      <c r="A327" t="s">
        <v>675</v>
      </c>
      <c r="B327" t="s">
        <v>676</v>
      </c>
      <c r="C327" t="s">
        <v>10</v>
      </c>
      <c r="D327" t="s">
        <v>25</v>
      </c>
      <c r="E327" t="s">
        <v>26</v>
      </c>
      <c r="F327">
        <v>59</v>
      </c>
      <c r="G327" t="s">
        <v>32</v>
      </c>
      <c r="H327">
        <v>24678</v>
      </c>
      <c r="I327" t="str">
        <f t="shared" si="20"/>
        <v>SalesEmp_325</v>
      </c>
      <c r="J327" t="str">
        <f t="shared" si="21"/>
        <v>MaleSalesPune24678</v>
      </c>
      <c r="K327" t="str">
        <f t="shared" si="22"/>
        <v>59LaptopPune</v>
      </c>
      <c r="L327" t="str">
        <f t="shared" si="23"/>
        <v>24678Laptop</v>
      </c>
    </row>
    <row r="328" spans="1:12" x14ac:dyDescent="0.3">
      <c r="A328" t="s">
        <v>677</v>
      </c>
      <c r="B328" t="s">
        <v>678</v>
      </c>
      <c r="C328" t="s">
        <v>37</v>
      </c>
      <c r="D328" t="s">
        <v>55</v>
      </c>
      <c r="E328" t="s">
        <v>26</v>
      </c>
      <c r="F328">
        <v>33</v>
      </c>
      <c r="G328" t="s">
        <v>62</v>
      </c>
      <c r="H328">
        <v>7928</v>
      </c>
      <c r="I328" t="str">
        <f t="shared" si="20"/>
        <v>MarketingEmp_326</v>
      </c>
      <c r="J328" t="str">
        <f t="shared" si="21"/>
        <v>MaleMarketingHyderabad7928</v>
      </c>
      <c r="K328" t="str">
        <f t="shared" si="22"/>
        <v>33MobileHyderabad</v>
      </c>
      <c r="L328" t="str">
        <f t="shared" si="23"/>
        <v>7928Mobile</v>
      </c>
    </row>
    <row r="329" spans="1:12" x14ac:dyDescent="0.3">
      <c r="A329" t="s">
        <v>679</v>
      </c>
      <c r="B329" t="s">
        <v>680</v>
      </c>
      <c r="C329" t="s">
        <v>24</v>
      </c>
      <c r="D329" t="s">
        <v>25</v>
      </c>
      <c r="E329" t="s">
        <v>26</v>
      </c>
      <c r="F329">
        <v>30</v>
      </c>
      <c r="G329" t="s">
        <v>32</v>
      </c>
      <c r="H329">
        <v>12542</v>
      </c>
      <c r="I329" t="str">
        <f t="shared" si="20"/>
        <v>FinanceEmp_327</v>
      </c>
      <c r="J329" t="str">
        <f t="shared" si="21"/>
        <v>MaleFinancePune12542</v>
      </c>
      <c r="K329" t="str">
        <f t="shared" si="22"/>
        <v>30LaptopPune</v>
      </c>
      <c r="L329" t="str">
        <f t="shared" si="23"/>
        <v>12542Laptop</v>
      </c>
    </row>
    <row r="330" spans="1:12" x14ac:dyDescent="0.3">
      <c r="A330" t="s">
        <v>681</v>
      </c>
      <c r="B330" t="s">
        <v>682</v>
      </c>
      <c r="C330" t="s">
        <v>37</v>
      </c>
      <c r="D330" t="s">
        <v>25</v>
      </c>
      <c r="E330" t="s">
        <v>12</v>
      </c>
      <c r="F330">
        <v>49</v>
      </c>
      <c r="G330" t="s">
        <v>17</v>
      </c>
      <c r="H330">
        <v>6480</v>
      </c>
      <c r="I330" t="str">
        <f t="shared" si="20"/>
        <v>MarketingEmp_328</v>
      </c>
      <c r="J330" t="str">
        <f t="shared" si="21"/>
        <v>FemaleMarketingPune6480</v>
      </c>
      <c r="K330" t="str">
        <f t="shared" si="22"/>
        <v>49PrinterPune</v>
      </c>
      <c r="L330" t="str">
        <f t="shared" si="23"/>
        <v>6480Printer</v>
      </c>
    </row>
    <row r="331" spans="1:12" x14ac:dyDescent="0.3">
      <c r="A331" t="s">
        <v>683</v>
      </c>
      <c r="B331" t="s">
        <v>684</v>
      </c>
      <c r="C331" t="s">
        <v>20</v>
      </c>
      <c r="D331" t="s">
        <v>25</v>
      </c>
      <c r="E331" t="s">
        <v>12</v>
      </c>
      <c r="F331">
        <v>54</v>
      </c>
      <c r="G331" t="s">
        <v>17</v>
      </c>
      <c r="H331">
        <v>27483</v>
      </c>
      <c r="I331" t="str">
        <f t="shared" si="20"/>
        <v>HREmp_329</v>
      </c>
      <c r="J331" t="str">
        <f t="shared" si="21"/>
        <v>FemaleHRPune27483</v>
      </c>
      <c r="K331" t="str">
        <f t="shared" si="22"/>
        <v>54PrinterPune</v>
      </c>
      <c r="L331" t="str">
        <f t="shared" si="23"/>
        <v>27483Printer</v>
      </c>
    </row>
    <row r="332" spans="1:12" x14ac:dyDescent="0.3">
      <c r="A332" t="s">
        <v>685</v>
      </c>
      <c r="B332" t="s">
        <v>686</v>
      </c>
      <c r="C332" t="s">
        <v>24</v>
      </c>
      <c r="D332" t="s">
        <v>11</v>
      </c>
      <c r="E332" t="s">
        <v>12</v>
      </c>
      <c r="F332">
        <v>25</v>
      </c>
      <c r="G332" t="s">
        <v>62</v>
      </c>
      <c r="H332">
        <v>47465</v>
      </c>
      <c r="I332" t="str">
        <f t="shared" si="20"/>
        <v>FinanceEmp_330</v>
      </c>
      <c r="J332" t="str">
        <f t="shared" si="21"/>
        <v>FemaleFinanceDelhi47465</v>
      </c>
      <c r="K332" t="str">
        <f t="shared" si="22"/>
        <v>25MobileDelhi</v>
      </c>
      <c r="L332" t="str">
        <f t="shared" si="23"/>
        <v>47465Mobile</v>
      </c>
    </row>
    <row r="333" spans="1:12" x14ac:dyDescent="0.3">
      <c r="A333" t="s">
        <v>687</v>
      </c>
      <c r="B333" t="s">
        <v>688</v>
      </c>
      <c r="C333" t="s">
        <v>20</v>
      </c>
      <c r="D333" t="s">
        <v>25</v>
      </c>
      <c r="E333" t="s">
        <v>12</v>
      </c>
      <c r="F333">
        <v>29</v>
      </c>
      <c r="G333" t="s">
        <v>13</v>
      </c>
      <c r="H333">
        <v>12167</v>
      </c>
      <c r="I333" t="str">
        <f t="shared" si="20"/>
        <v>HREmp_331</v>
      </c>
      <c r="J333" t="str">
        <f t="shared" si="21"/>
        <v>FemaleHRPune12167</v>
      </c>
      <c r="K333" t="str">
        <f t="shared" si="22"/>
        <v>29MonitorPune</v>
      </c>
      <c r="L333" t="str">
        <f t="shared" si="23"/>
        <v>12167Monitor</v>
      </c>
    </row>
    <row r="334" spans="1:12" x14ac:dyDescent="0.3">
      <c r="A334" t="s">
        <v>689</v>
      </c>
      <c r="B334" t="s">
        <v>690</v>
      </c>
      <c r="C334" t="s">
        <v>10</v>
      </c>
      <c r="D334" t="s">
        <v>55</v>
      </c>
      <c r="E334" t="s">
        <v>26</v>
      </c>
      <c r="F334">
        <v>55</v>
      </c>
      <c r="G334" t="s">
        <v>62</v>
      </c>
      <c r="H334">
        <v>49377</v>
      </c>
      <c r="I334" t="str">
        <f t="shared" si="20"/>
        <v>SalesEmp_332</v>
      </c>
      <c r="J334" t="str">
        <f t="shared" si="21"/>
        <v>MaleSalesHyderabad49377</v>
      </c>
      <c r="K334" t="str">
        <f t="shared" si="22"/>
        <v>55MobileHyderabad</v>
      </c>
      <c r="L334" t="str">
        <f t="shared" si="23"/>
        <v>49377Mobile</v>
      </c>
    </row>
    <row r="335" spans="1:12" x14ac:dyDescent="0.3">
      <c r="A335" t="s">
        <v>691</v>
      </c>
      <c r="B335" t="s">
        <v>692</v>
      </c>
      <c r="C335" t="s">
        <v>24</v>
      </c>
      <c r="D335" t="s">
        <v>55</v>
      </c>
      <c r="E335" t="s">
        <v>12</v>
      </c>
      <c r="F335">
        <v>31</v>
      </c>
      <c r="G335" t="s">
        <v>32</v>
      </c>
      <c r="H335">
        <v>15771</v>
      </c>
      <c r="I335" t="str">
        <f t="shared" si="20"/>
        <v>FinanceEmp_333</v>
      </c>
      <c r="J335" t="str">
        <f t="shared" si="21"/>
        <v>FemaleFinanceHyderabad15771</v>
      </c>
      <c r="K335" t="str">
        <f t="shared" si="22"/>
        <v>31LaptopHyderabad</v>
      </c>
      <c r="L335" t="str">
        <f t="shared" si="23"/>
        <v>15771Laptop</v>
      </c>
    </row>
    <row r="336" spans="1:12" x14ac:dyDescent="0.3">
      <c r="A336" t="s">
        <v>693</v>
      </c>
      <c r="B336" t="s">
        <v>694</v>
      </c>
      <c r="C336" t="s">
        <v>20</v>
      </c>
      <c r="D336" t="s">
        <v>55</v>
      </c>
      <c r="E336" t="s">
        <v>12</v>
      </c>
      <c r="F336">
        <v>41</v>
      </c>
      <c r="G336" t="s">
        <v>62</v>
      </c>
      <c r="H336">
        <v>20985</v>
      </c>
      <c r="I336" t="str">
        <f t="shared" si="20"/>
        <v>HREmp_334</v>
      </c>
      <c r="J336" t="str">
        <f t="shared" si="21"/>
        <v>FemaleHRHyderabad20985</v>
      </c>
      <c r="K336" t="str">
        <f t="shared" si="22"/>
        <v>41MobileHyderabad</v>
      </c>
      <c r="L336" t="str">
        <f t="shared" si="23"/>
        <v>20985Mobile</v>
      </c>
    </row>
    <row r="337" spans="1:12" x14ac:dyDescent="0.3">
      <c r="A337" t="s">
        <v>695</v>
      </c>
      <c r="B337" t="s">
        <v>696</v>
      </c>
      <c r="C337" t="s">
        <v>20</v>
      </c>
      <c r="D337" t="s">
        <v>21</v>
      </c>
      <c r="E337" t="s">
        <v>12</v>
      </c>
      <c r="F337">
        <v>32</v>
      </c>
      <c r="G337" t="s">
        <v>13</v>
      </c>
      <c r="H337">
        <v>38816</v>
      </c>
      <c r="I337" t="str">
        <f t="shared" si="20"/>
        <v>HREmp_335</v>
      </c>
      <c r="J337" t="str">
        <f t="shared" si="21"/>
        <v>FemaleHRBangalore38816</v>
      </c>
      <c r="K337" t="str">
        <f t="shared" si="22"/>
        <v>32MonitorBangalore</v>
      </c>
      <c r="L337" t="str">
        <f t="shared" si="23"/>
        <v>38816Monitor</v>
      </c>
    </row>
    <row r="338" spans="1:12" x14ac:dyDescent="0.3">
      <c r="A338" t="s">
        <v>697</v>
      </c>
      <c r="B338" t="s">
        <v>698</v>
      </c>
      <c r="C338" t="s">
        <v>24</v>
      </c>
      <c r="D338" t="s">
        <v>25</v>
      </c>
      <c r="E338" t="s">
        <v>26</v>
      </c>
      <c r="F338">
        <v>32</v>
      </c>
      <c r="G338" t="s">
        <v>27</v>
      </c>
      <c r="H338">
        <v>16432</v>
      </c>
      <c r="I338" t="str">
        <f t="shared" si="20"/>
        <v>FinanceEmp_336</v>
      </c>
      <c r="J338" t="str">
        <f t="shared" si="21"/>
        <v>MaleFinancePune16432</v>
      </c>
      <c r="K338" t="str">
        <f t="shared" si="22"/>
        <v>32TabletPune</v>
      </c>
      <c r="L338" t="str">
        <f t="shared" si="23"/>
        <v>16432Tablet</v>
      </c>
    </row>
    <row r="339" spans="1:12" x14ac:dyDescent="0.3">
      <c r="A339" t="s">
        <v>699</v>
      </c>
      <c r="B339" t="s">
        <v>700</v>
      </c>
      <c r="C339" t="s">
        <v>44</v>
      </c>
      <c r="D339" t="s">
        <v>55</v>
      </c>
      <c r="E339" t="s">
        <v>26</v>
      </c>
      <c r="F339">
        <v>42</v>
      </c>
      <c r="G339" t="s">
        <v>62</v>
      </c>
      <c r="H339">
        <v>41169</v>
      </c>
      <c r="I339" t="str">
        <f t="shared" si="20"/>
        <v>ITEmp_337</v>
      </c>
      <c r="J339" t="str">
        <f t="shared" si="21"/>
        <v>MaleITHyderabad41169</v>
      </c>
      <c r="K339" t="str">
        <f t="shared" si="22"/>
        <v>42MobileHyderabad</v>
      </c>
      <c r="L339" t="str">
        <f t="shared" si="23"/>
        <v>41169Mobile</v>
      </c>
    </row>
    <row r="340" spans="1:12" x14ac:dyDescent="0.3">
      <c r="A340" t="s">
        <v>701</v>
      </c>
      <c r="B340" t="s">
        <v>702</v>
      </c>
      <c r="C340" t="s">
        <v>37</v>
      </c>
      <c r="D340" t="s">
        <v>21</v>
      </c>
      <c r="E340" t="s">
        <v>26</v>
      </c>
      <c r="F340">
        <v>36</v>
      </c>
      <c r="G340" t="s">
        <v>13</v>
      </c>
      <c r="H340">
        <v>15494</v>
      </c>
      <c r="I340" t="str">
        <f t="shared" si="20"/>
        <v>MarketingEmp_338</v>
      </c>
      <c r="J340" t="str">
        <f t="shared" si="21"/>
        <v>MaleMarketingBangalore15494</v>
      </c>
      <c r="K340" t="str">
        <f t="shared" si="22"/>
        <v>36MonitorBangalore</v>
      </c>
      <c r="L340" t="str">
        <f t="shared" si="23"/>
        <v>15494Monitor</v>
      </c>
    </row>
    <row r="341" spans="1:12" x14ac:dyDescent="0.3">
      <c r="A341" t="s">
        <v>703</v>
      </c>
      <c r="B341" t="s">
        <v>704</v>
      </c>
      <c r="C341" t="s">
        <v>20</v>
      </c>
      <c r="D341" t="s">
        <v>25</v>
      </c>
      <c r="E341" t="s">
        <v>26</v>
      </c>
      <c r="F341">
        <v>44</v>
      </c>
      <c r="G341" t="s">
        <v>27</v>
      </c>
      <c r="H341">
        <v>26691</v>
      </c>
      <c r="I341" t="str">
        <f t="shared" si="20"/>
        <v>HREmp_339</v>
      </c>
      <c r="J341" t="str">
        <f t="shared" si="21"/>
        <v>MaleHRPune26691</v>
      </c>
      <c r="K341" t="str">
        <f t="shared" si="22"/>
        <v>44TabletPune</v>
      </c>
      <c r="L341" t="str">
        <f t="shared" si="23"/>
        <v>26691Tablet</v>
      </c>
    </row>
    <row r="342" spans="1:12" x14ac:dyDescent="0.3">
      <c r="A342" t="s">
        <v>705</v>
      </c>
      <c r="B342" t="s">
        <v>706</v>
      </c>
      <c r="C342" t="s">
        <v>37</v>
      </c>
      <c r="D342" t="s">
        <v>25</v>
      </c>
      <c r="E342" t="s">
        <v>26</v>
      </c>
      <c r="F342">
        <v>55</v>
      </c>
      <c r="G342" t="s">
        <v>13</v>
      </c>
      <c r="H342">
        <v>41690</v>
      </c>
      <c r="I342" t="str">
        <f t="shared" si="20"/>
        <v>MarketingEmp_340</v>
      </c>
      <c r="J342" t="str">
        <f t="shared" si="21"/>
        <v>MaleMarketingPune41690</v>
      </c>
      <c r="K342" t="str">
        <f t="shared" si="22"/>
        <v>55MonitorPune</v>
      </c>
      <c r="L342" t="str">
        <f t="shared" si="23"/>
        <v>41690Monitor</v>
      </c>
    </row>
    <row r="343" spans="1:12" x14ac:dyDescent="0.3">
      <c r="A343" t="s">
        <v>707</v>
      </c>
      <c r="B343" t="s">
        <v>708</v>
      </c>
      <c r="C343" t="s">
        <v>37</v>
      </c>
      <c r="D343" t="s">
        <v>16</v>
      </c>
      <c r="E343" t="s">
        <v>26</v>
      </c>
      <c r="F343">
        <v>40</v>
      </c>
      <c r="G343" t="s">
        <v>13</v>
      </c>
      <c r="H343">
        <v>32942</v>
      </c>
      <c r="I343" t="str">
        <f t="shared" si="20"/>
        <v>MarketingEmp_341</v>
      </c>
      <c r="J343" t="str">
        <f t="shared" si="21"/>
        <v>MaleMarketingMumbai32942</v>
      </c>
      <c r="K343" t="str">
        <f t="shared" si="22"/>
        <v>40MonitorMumbai</v>
      </c>
      <c r="L343" t="str">
        <f t="shared" si="23"/>
        <v>32942Monitor</v>
      </c>
    </row>
    <row r="344" spans="1:12" x14ac:dyDescent="0.3">
      <c r="A344" t="s">
        <v>709</v>
      </c>
      <c r="B344" t="s">
        <v>710</v>
      </c>
      <c r="C344" t="s">
        <v>10</v>
      </c>
      <c r="D344" t="s">
        <v>25</v>
      </c>
      <c r="E344" t="s">
        <v>12</v>
      </c>
      <c r="F344">
        <v>27</v>
      </c>
      <c r="G344" t="s">
        <v>27</v>
      </c>
      <c r="H344">
        <v>35281</v>
      </c>
      <c r="I344" t="str">
        <f t="shared" si="20"/>
        <v>SalesEmp_342</v>
      </c>
      <c r="J344" t="str">
        <f t="shared" si="21"/>
        <v>FemaleSalesPune35281</v>
      </c>
      <c r="K344" t="str">
        <f t="shared" si="22"/>
        <v>27TabletPune</v>
      </c>
      <c r="L344" t="str">
        <f t="shared" si="23"/>
        <v>35281Tablet</v>
      </c>
    </row>
    <row r="345" spans="1:12" x14ac:dyDescent="0.3">
      <c r="A345" t="s">
        <v>711</v>
      </c>
      <c r="B345" t="s">
        <v>712</v>
      </c>
      <c r="C345" t="s">
        <v>37</v>
      </c>
      <c r="D345" t="s">
        <v>16</v>
      </c>
      <c r="E345" t="s">
        <v>12</v>
      </c>
      <c r="F345">
        <v>38</v>
      </c>
      <c r="G345" t="s">
        <v>62</v>
      </c>
      <c r="H345">
        <v>20194</v>
      </c>
      <c r="I345" t="str">
        <f t="shared" si="20"/>
        <v>MarketingEmp_343</v>
      </c>
      <c r="J345" t="str">
        <f t="shared" si="21"/>
        <v>FemaleMarketingMumbai20194</v>
      </c>
      <c r="K345" t="str">
        <f t="shared" si="22"/>
        <v>38MobileMumbai</v>
      </c>
      <c r="L345" t="str">
        <f t="shared" si="23"/>
        <v>20194Mobile</v>
      </c>
    </row>
    <row r="346" spans="1:12" x14ac:dyDescent="0.3">
      <c r="A346" t="s">
        <v>713</v>
      </c>
      <c r="B346" t="s">
        <v>714</v>
      </c>
      <c r="C346" t="s">
        <v>20</v>
      </c>
      <c r="D346" t="s">
        <v>11</v>
      </c>
      <c r="E346" t="s">
        <v>12</v>
      </c>
      <c r="F346">
        <v>34</v>
      </c>
      <c r="G346" t="s">
        <v>27</v>
      </c>
      <c r="H346">
        <v>31545</v>
      </c>
      <c r="I346" t="str">
        <f t="shared" si="20"/>
        <v>HREmp_344</v>
      </c>
      <c r="J346" t="str">
        <f t="shared" si="21"/>
        <v>FemaleHRDelhi31545</v>
      </c>
      <c r="K346" t="str">
        <f t="shared" si="22"/>
        <v>34TabletDelhi</v>
      </c>
      <c r="L346" t="str">
        <f t="shared" si="23"/>
        <v>31545Tablet</v>
      </c>
    </row>
    <row r="347" spans="1:12" x14ac:dyDescent="0.3">
      <c r="A347" t="s">
        <v>715</v>
      </c>
      <c r="B347" t="s">
        <v>716</v>
      </c>
      <c r="C347" t="s">
        <v>10</v>
      </c>
      <c r="D347" t="s">
        <v>11</v>
      </c>
      <c r="E347" t="s">
        <v>12</v>
      </c>
      <c r="F347">
        <v>57</v>
      </c>
      <c r="G347" t="s">
        <v>62</v>
      </c>
      <c r="H347">
        <v>46271</v>
      </c>
      <c r="I347" t="str">
        <f t="shared" si="20"/>
        <v>SalesEmp_345</v>
      </c>
      <c r="J347" t="str">
        <f t="shared" si="21"/>
        <v>FemaleSalesDelhi46271</v>
      </c>
      <c r="K347" t="str">
        <f t="shared" si="22"/>
        <v>57MobileDelhi</v>
      </c>
      <c r="L347" t="str">
        <f t="shared" si="23"/>
        <v>46271Mobile</v>
      </c>
    </row>
    <row r="348" spans="1:12" x14ac:dyDescent="0.3">
      <c r="A348" t="s">
        <v>717</v>
      </c>
      <c r="B348" t="s">
        <v>718</v>
      </c>
      <c r="C348" t="s">
        <v>24</v>
      </c>
      <c r="D348" t="s">
        <v>21</v>
      </c>
      <c r="E348" t="s">
        <v>12</v>
      </c>
      <c r="F348">
        <v>39</v>
      </c>
      <c r="G348" t="s">
        <v>13</v>
      </c>
      <c r="H348">
        <v>17088</v>
      </c>
      <c r="I348" t="str">
        <f t="shared" si="20"/>
        <v>FinanceEmp_346</v>
      </c>
      <c r="J348" t="str">
        <f t="shared" si="21"/>
        <v>FemaleFinanceBangalore17088</v>
      </c>
      <c r="K348" t="str">
        <f t="shared" si="22"/>
        <v>39MonitorBangalore</v>
      </c>
      <c r="L348" t="str">
        <f t="shared" si="23"/>
        <v>17088Monitor</v>
      </c>
    </row>
    <row r="349" spans="1:12" x14ac:dyDescent="0.3">
      <c r="A349" t="s">
        <v>719</v>
      </c>
      <c r="B349" t="s">
        <v>720</v>
      </c>
      <c r="C349" t="s">
        <v>20</v>
      </c>
      <c r="D349" t="s">
        <v>16</v>
      </c>
      <c r="E349" t="s">
        <v>12</v>
      </c>
      <c r="F349">
        <v>30</v>
      </c>
      <c r="G349" t="s">
        <v>62</v>
      </c>
      <c r="H349">
        <v>17215</v>
      </c>
      <c r="I349" t="str">
        <f t="shared" si="20"/>
        <v>HREmp_347</v>
      </c>
      <c r="J349" t="str">
        <f t="shared" si="21"/>
        <v>FemaleHRMumbai17215</v>
      </c>
      <c r="K349" t="str">
        <f t="shared" si="22"/>
        <v>30MobileMumbai</v>
      </c>
      <c r="L349" t="str">
        <f t="shared" si="23"/>
        <v>17215Mobile</v>
      </c>
    </row>
    <row r="350" spans="1:12" x14ac:dyDescent="0.3">
      <c r="A350" t="s">
        <v>721</v>
      </c>
      <c r="B350" t="s">
        <v>722</v>
      </c>
      <c r="C350" t="s">
        <v>10</v>
      </c>
      <c r="D350" t="s">
        <v>11</v>
      </c>
      <c r="E350" t="s">
        <v>12</v>
      </c>
      <c r="F350">
        <v>41</v>
      </c>
      <c r="G350" t="s">
        <v>17</v>
      </c>
      <c r="H350">
        <v>46974</v>
      </c>
      <c r="I350" t="str">
        <f t="shared" si="20"/>
        <v>SalesEmp_348</v>
      </c>
      <c r="J350" t="str">
        <f t="shared" si="21"/>
        <v>FemaleSalesDelhi46974</v>
      </c>
      <c r="K350" t="str">
        <f t="shared" si="22"/>
        <v>41PrinterDelhi</v>
      </c>
      <c r="L350" t="str">
        <f t="shared" si="23"/>
        <v>46974Printer</v>
      </c>
    </row>
    <row r="351" spans="1:12" x14ac:dyDescent="0.3">
      <c r="A351" t="s">
        <v>723</v>
      </c>
      <c r="B351" t="s">
        <v>724</v>
      </c>
      <c r="C351" t="s">
        <v>10</v>
      </c>
      <c r="D351" t="s">
        <v>11</v>
      </c>
      <c r="E351" t="s">
        <v>26</v>
      </c>
      <c r="F351">
        <v>56</v>
      </c>
      <c r="G351" t="s">
        <v>27</v>
      </c>
      <c r="H351">
        <v>48077</v>
      </c>
      <c r="I351" t="str">
        <f t="shared" si="20"/>
        <v>SalesEmp_349</v>
      </c>
      <c r="J351" t="str">
        <f t="shared" si="21"/>
        <v>MaleSalesDelhi48077</v>
      </c>
      <c r="K351" t="str">
        <f t="shared" si="22"/>
        <v>56TabletDelhi</v>
      </c>
      <c r="L351" t="str">
        <f t="shared" si="23"/>
        <v>48077Tablet</v>
      </c>
    </row>
    <row r="352" spans="1:12" x14ac:dyDescent="0.3">
      <c r="A352" t="s">
        <v>725</v>
      </c>
      <c r="B352" t="s">
        <v>726</v>
      </c>
      <c r="C352" t="s">
        <v>37</v>
      </c>
      <c r="D352" t="s">
        <v>11</v>
      </c>
      <c r="E352" t="s">
        <v>26</v>
      </c>
      <c r="F352">
        <v>27</v>
      </c>
      <c r="G352" t="s">
        <v>27</v>
      </c>
      <c r="H352">
        <v>33320</v>
      </c>
      <c r="I352" t="str">
        <f t="shared" si="20"/>
        <v>MarketingEmp_350</v>
      </c>
      <c r="J352" t="str">
        <f t="shared" si="21"/>
        <v>MaleMarketingDelhi33320</v>
      </c>
      <c r="K352" t="str">
        <f t="shared" si="22"/>
        <v>27TabletDelhi</v>
      </c>
      <c r="L352" t="str">
        <f t="shared" si="23"/>
        <v>33320Tablet</v>
      </c>
    </row>
    <row r="353" spans="1:12" x14ac:dyDescent="0.3">
      <c r="A353" t="s">
        <v>727</v>
      </c>
      <c r="B353" t="s">
        <v>728</v>
      </c>
      <c r="C353" t="s">
        <v>24</v>
      </c>
      <c r="D353" t="s">
        <v>25</v>
      </c>
      <c r="E353" t="s">
        <v>12</v>
      </c>
      <c r="F353">
        <v>54</v>
      </c>
      <c r="G353" t="s">
        <v>32</v>
      </c>
      <c r="H353">
        <v>30924</v>
      </c>
      <c r="I353" t="str">
        <f t="shared" si="20"/>
        <v>FinanceEmp_351</v>
      </c>
      <c r="J353" t="str">
        <f t="shared" si="21"/>
        <v>FemaleFinancePune30924</v>
      </c>
      <c r="K353" t="str">
        <f t="shared" si="22"/>
        <v>54LaptopPune</v>
      </c>
      <c r="L353" t="str">
        <f t="shared" si="23"/>
        <v>30924Laptop</v>
      </c>
    </row>
    <row r="354" spans="1:12" x14ac:dyDescent="0.3">
      <c r="A354" t="s">
        <v>729</v>
      </c>
      <c r="B354" t="s">
        <v>730</v>
      </c>
      <c r="C354" t="s">
        <v>20</v>
      </c>
      <c r="D354" t="s">
        <v>16</v>
      </c>
      <c r="E354" t="s">
        <v>12</v>
      </c>
      <c r="F354">
        <v>32</v>
      </c>
      <c r="G354" t="s">
        <v>13</v>
      </c>
      <c r="H354">
        <v>6913</v>
      </c>
      <c r="I354" t="str">
        <f t="shared" si="20"/>
        <v>HREmp_352</v>
      </c>
      <c r="J354" t="str">
        <f t="shared" si="21"/>
        <v>FemaleHRMumbai6913</v>
      </c>
      <c r="K354" t="str">
        <f t="shared" si="22"/>
        <v>32MonitorMumbai</v>
      </c>
      <c r="L354" t="str">
        <f t="shared" si="23"/>
        <v>6913Monitor</v>
      </c>
    </row>
    <row r="355" spans="1:12" x14ac:dyDescent="0.3">
      <c r="A355" t="s">
        <v>731</v>
      </c>
      <c r="B355" t="s">
        <v>732</v>
      </c>
      <c r="C355" t="s">
        <v>20</v>
      </c>
      <c r="D355" t="s">
        <v>11</v>
      </c>
      <c r="E355" t="s">
        <v>26</v>
      </c>
      <c r="F355">
        <v>59</v>
      </c>
      <c r="G355" t="s">
        <v>13</v>
      </c>
      <c r="H355">
        <v>45246</v>
      </c>
      <c r="I355" t="str">
        <f t="shared" si="20"/>
        <v>HREmp_353</v>
      </c>
      <c r="J355" t="str">
        <f t="shared" si="21"/>
        <v>MaleHRDelhi45246</v>
      </c>
      <c r="K355" t="str">
        <f t="shared" si="22"/>
        <v>59MonitorDelhi</v>
      </c>
      <c r="L355" t="str">
        <f t="shared" si="23"/>
        <v>45246Monitor</v>
      </c>
    </row>
    <row r="356" spans="1:12" x14ac:dyDescent="0.3">
      <c r="A356" t="s">
        <v>733</v>
      </c>
      <c r="B356" t="s">
        <v>734</v>
      </c>
      <c r="C356" t="s">
        <v>37</v>
      </c>
      <c r="D356" t="s">
        <v>16</v>
      </c>
      <c r="E356" t="s">
        <v>12</v>
      </c>
      <c r="F356">
        <v>59</v>
      </c>
      <c r="G356" t="s">
        <v>62</v>
      </c>
      <c r="H356">
        <v>17931</v>
      </c>
      <c r="I356" t="str">
        <f t="shared" si="20"/>
        <v>MarketingEmp_354</v>
      </c>
      <c r="J356" t="str">
        <f t="shared" si="21"/>
        <v>FemaleMarketingMumbai17931</v>
      </c>
      <c r="K356" t="str">
        <f t="shared" si="22"/>
        <v>59MobileMumbai</v>
      </c>
      <c r="L356" t="str">
        <f t="shared" si="23"/>
        <v>17931Mobile</v>
      </c>
    </row>
    <row r="357" spans="1:12" x14ac:dyDescent="0.3">
      <c r="A357" t="s">
        <v>735</v>
      </c>
      <c r="B357" t="s">
        <v>736</v>
      </c>
      <c r="C357" t="s">
        <v>24</v>
      </c>
      <c r="D357" t="s">
        <v>55</v>
      </c>
      <c r="E357" t="s">
        <v>12</v>
      </c>
      <c r="F357">
        <v>31</v>
      </c>
      <c r="G357" t="s">
        <v>17</v>
      </c>
      <c r="H357">
        <v>34463</v>
      </c>
      <c r="I357" t="str">
        <f t="shared" si="20"/>
        <v>FinanceEmp_355</v>
      </c>
      <c r="J357" t="str">
        <f t="shared" si="21"/>
        <v>FemaleFinanceHyderabad34463</v>
      </c>
      <c r="K357" t="str">
        <f t="shared" si="22"/>
        <v>31PrinterHyderabad</v>
      </c>
      <c r="L357" t="str">
        <f t="shared" si="23"/>
        <v>34463Printer</v>
      </c>
    </row>
    <row r="358" spans="1:12" x14ac:dyDescent="0.3">
      <c r="A358" t="s">
        <v>737</v>
      </c>
      <c r="B358" t="s">
        <v>738</v>
      </c>
      <c r="C358" t="s">
        <v>20</v>
      </c>
      <c r="D358" t="s">
        <v>55</v>
      </c>
      <c r="E358" t="s">
        <v>12</v>
      </c>
      <c r="F358">
        <v>32</v>
      </c>
      <c r="G358" t="s">
        <v>13</v>
      </c>
      <c r="H358">
        <v>43810</v>
      </c>
      <c r="I358" t="str">
        <f t="shared" si="20"/>
        <v>HREmp_356</v>
      </c>
      <c r="J358" t="str">
        <f t="shared" si="21"/>
        <v>FemaleHRHyderabad43810</v>
      </c>
      <c r="K358" t="str">
        <f t="shared" si="22"/>
        <v>32MonitorHyderabad</v>
      </c>
      <c r="L358" t="str">
        <f t="shared" si="23"/>
        <v>43810Monitor</v>
      </c>
    </row>
    <row r="359" spans="1:12" x14ac:dyDescent="0.3">
      <c r="A359" t="s">
        <v>739</v>
      </c>
      <c r="B359" t="s">
        <v>740</v>
      </c>
      <c r="C359" t="s">
        <v>24</v>
      </c>
      <c r="D359" t="s">
        <v>25</v>
      </c>
      <c r="E359" t="s">
        <v>26</v>
      </c>
      <c r="F359">
        <v>60</v>
      </c>
      <c r="G359" t="s">
        <v>17</v>
      </c>
      <c r="H359">
        <v>33151</v>
      </c>
      <c r="I359" t="str">
        <f t="shared" si="20"/>
        <v>FinanceEmp_357</v>
      </c>
      <c r="J359" t="str">
        <f t="shared" si="21"/>
        <v>MaleFinancePune33151</v>
      </c>
      <c r="K359" t="str">
        <f t="shared" si="22"/>
        <v>60PrinterPune</v>
      </c>
      <c r="L359" t="str">
        <f t="shared" si="23"/>
        <v>33151Printer</v>
      </c>
    </row>
    <row r="360" spans="1:12" x14ac:dyDescent="0.3">
      <c r="A360" t="s">
        <v>741</v>
      </c>
      <c r="B360" t="s">
        <v>742</v>
      </c>
      <c r="C360" t="s">
        <v>20</v>
      </c>
      <c r="D360" t="s">
        <v>55</v>
      </c>
      <c r="E360" t="s">
        <v>26</v>
      </c>
      <c r="F360">
        <v>43</v>
      </c>
      <c r="G360" t="s">
        <v>32</v>
      </c>
      <c r="H360">
        <v>30482</v>
      </c>
      <c r="I360" t="str">
        <f t="shared" si="20"/>
        <v>HREmp_358</v>
      </c>
      <c r="J360" t="str">
        <f t="shared" si="21"/>
        <v>MaleHRHyderabad30482</v>
      </c>
      <c r="K360" t="str">
        <f t="shared" si="22"/>
        <v>43LaptopHyderabad</v>
      </c>
      <c r="L360" t="str">
        <f t="shared" si="23"/>
        <v>30482Laptop</v>
      </c>
    </row>
    <row r="361" spans="1:12" x14ac:dyDescent="0.3">
      <c r="A361" t="s">
        <v>743</v>
      </c>
      <c r="B361" t="s">
        <v>744</v>
      </c>
      <c r="C361" t="s">
        <v>37</v>
      </c>
      <c r="D361" t="s">
        <v>21</v>
      </c>
      <c r="E361" t="s">
        <v>12</v>
      </c>
      <c r="F361">
        <v>58</v>
      </c>
      <c r="G361" t="s">
        <v>27</v>
      </c>
      <c r="H361">
        <v>5291</v>
      </c>
      <c r="I361" t="str">
        <f t="shared" si="20"/>
        <v>MarketingEmp_359</v>
      </c>
      <c r="J361" t="str">
        <f t="shared" si="21"/>
        <v>FemaleMarketingBangalore5291</v>
      </c>
      <c r="K361" t="str">
        <f t="shared" si="22"/>
        <v>58TabletBangalore</v>
      </c>
      <c r="L361" t="str">
        <f t="shared" si="23"/>
        <v>5291Tablet</v>
      </c>
    </row>
    <row r="362" spans="1:12" x14ac:dyDescent="0.3">
      <c r="A362" t="s">
        <v>745</v>
      </c>
      <c r="B362" t="s">
        <v>746</v>
      </c>
      <c r="C362" t="s">
        <v>44</v>
      </c>
      <c r="D362" t="s">
        <v>16</v>
      </c>
      <c r="E362" t="s">
        <v>26</v>
      </c>
      <c r="F362">
        <v>24</v>
      </c>
      <c r="G362" t="s">
        <v>17</v>
      </c>
      <c r="H362">
        <v>19076</v>
      </c>
      <c r="I362" t="str">
        <f t="shared" si="20"/>
        <v>ITEmp_360</v>
      </c>
      <c r="J362" t="str">
        <f t="shared" si="21"/>
        <v>MaleITMumbai19076</v>
      </c>
      <c r="K362" t="str">
        <f t="shared" si="22"/>
        <v>24PrinterMumbai</v>
      </c>
      <c r="L362" t="str">
        <f t="shared" si="23"/>
        <v>19076Printer</v>
      </c>
    </row>
    <row r="363" spans="1:12" x14ac:dyDescent="0.3">
      <c r="A363" t="s">
        <v>747</v>
      </c>
      <c r="B363" t="s">
        <v>748</v>
      </c>
      <c r="C363" t="s">
        <v>20</v>
      </c>
      <c r="D363" t="s">
        <v>11</v>
      </c>
      <c r="E363" t="s">
        <v>26</v>
      </c>
      <c r="F363">
        <v>23</v>
      </c>
      <c r="G363" t="s">
        <v>13</v>
      </c>
      <c r="H363">
        <v>18486</v>
      </c>
      <c r="I363" t="str">
        <f t="shared" si="20"/>
        <v>HREmp_361</v>
      </c>
      <c r="J363" t="str">
        <f t="shared" si="21"/>
        <v>MaleHRDelhi18486</v>
      </c>
      <c r="K363" t="str">
        <f t="shared" si="22"/>
        <v>23MonitorDelhi</v>
      </c>
      <c r="L363" t="str">
        <f t="shared" si="23"/>
        <v>18486Monitor</v>
      </c>
    </row>
    <row r="364" spans="1:12" x14ac:dyDescent="0.3">
      <c r="A364" t="s">
        <v>749</v>
      </c>
      <c r="B364" t="s">
        <v>750</v>
      </c>
      <c r="C364" t="s">
        <v>10</v>
      </c>
      <c r="D364" t="s">
        <v>21</v>
      </c>
      <c r="E364" t="s">
        <v>26</v>
      </c>
      <c r="F364">
        <v>27</v>
      </c>
      <c r="G364" t="s">
        <v>27</v>
      </c>
      <c r="H364">
        <v>23241</v>
      </c>
      <c r="I364" t="str">
        <f t="shared" si="20"/>
        <v>SalesEmp_362</v>
      </c>
      <c r="J364" t="str">
        <f t="shared" si="21"/>
        <v>MaleSalesBangalore23241</v>
      </c>
      <c r="K364" t="str">
        <f t="shared" si="22"/>
        <v>27TabletBangalore</v>
      </c>
      <c r="L364" t="str">
        <f t="shared" si="23"/>
        <v>23241Tablet</v>
      </c>
    </row>
    <row r="365" spans="1:12" x14ac:dyDescent="0.3">
      <c r="A365" t="s">
        <v>751</v>
      </c>
      <c r="B365" t="s">
        <v>752</v>
      </c>
      <c r="C365" t="s">
        <v>10</v>
      </c>
      <c r="D365" t="s">
        <v>21</v>
      </c>
      <c r="E365" t="s">
        <v>12</v>
      </c>
      <c r="F365">
        <v>24</v>
      </c>
      <c r="G365" t="s">
        <v>17</v>
      </c>
      <c r="H365">
        <v>9100</v>
      </c>
      <c r="I365" t="str">
        <f t="shared" si="20"/>
        <v>SalesEmp_363</v>
      </c>
      <c r="J365" t="str">
        <f t="shared" si="21"/>
        <v>FemaleSalesBangalore9100</v>
      </c>
      <c r="K365" t="str">
        <f t="shared" si="22"/>
        <v>24PrinterBangalore</v>
      </c>
      <c r="L365" t="str">
        <f t="shared" si="23"/>
        <v>9100Printer</v>
      </c>
    </row>
    <row r="366" spans="1:12" x14ac:dyDescent="0.3">
      <c r="A366" t="s">
        <v>753</v>
      </c>
      <c r="B366" t="s">
        <v>754</v>
      </c>
      <c r="C366" t="s">
        <v>44</v>
      </c>
      <c r="D366" t="s">
        <v>55</v>
      </c>
      <c r="E366" t="s">
        <v>26</v>
      </c>
      <c r="F366">
        <v>58</v>
      </c>
      <c r="G366" t="s">
        <v>17</v>
      </c>
      <c r="H366">
        <v>42837</v>
      </c>
      <c r="I366" t="str">
        <f t="shared" si="20"/>
        <v>ITEmp_364</v>
      </c>
      <c r="J366" t="str">
        <f t="shared" si="21"/>
        <v>MaleITHyderabad42837</v>
      </c>
      <c r="K366" t="str">
        <f t="shared" si="22"/>
        <v>58PrinterHyderabad</v>
      </c>
      <c r="L366" t="str">
        <f t="shared" si="23"/>
        <v>42837Printer</v>
      </c>
    </row>
    <row r="367" spans="1:12" x14ac:dyDescent="0.3">
      <c r="A367" t="s">
        <v>755</v>
      </c>
      <c r="B367" t="s">
        <v>756</v>
      </c>
      <c r="C367" t="s">
        <v>20</v>
      </c>
      <c r="D367" t="s">
        <v>16</v>
      </c>
      <c r="E367" t="s">
        <v>26</v>
      </c>
      <c r="F367">
        <v>38</v>
      </c>
      <c r="G367" t="s">
        <v>62</v>
      </c>
      <c r="H367">
        <v>11668</v>
      </c>
      <c r="I367" t="str">
        <f t="shared" si="20"/>
        <v>HREmp_365</v>
      </c>
      <c r="J367" t="str">
        <f t="shared" si="21"/>
        <v>MaleHRMumbai11668</v>
      </c>
      <c r="K367" t="str">
        <f t="shared" si="22"/>
        <v>38MobileMumbai</v>
      </c>
      <c r="L367" t="str">
        <f t="shared" si="23"/>
        <v>11668Mobile</v>
      </c>
    </row>
    <row r="368" spans="1:12" x14ac:dyDescent="0.3">
      <c r="A368" t="s">
        <v>757</v>
      </c>
      <c r="B368" t="s">
        <v>758</v>
      </c>
      <c r="C368" t="s">
        <v>10</v>
      </c>
      <c r="D368" t="s">
        <v>11</v>
      </c>
      <c r="E368" t="s">
        <v>12</v>
      </c>
      <c r="F368">
        <v>35</v>
      </c>
      <c r="G368" t="s">
        <v>27</v>
      </c>
      <c r="H368">
        <v>40185</v>
      </c>
      <c r="I368" t="str">
        <f t="shared" si="20"/>
        <v>SalesEmp_366</v>
      </c>
      <c r="J368" t="str">
        <f t="shared" si="21"/>
        <v>FemaleSalesDelhi40185</v>
      </c>
      <c r="K368" t="str">
        <f t="shared" si="22"/>
        <v>35TabletDelhi</v>
      </c>
      <c r="L368" t="str">
        <f t="shared" si="23"/>
        <v>40185Tablet</v>
      </c>
    </row>
    <row r="369" spans="1:12" x14ac:dyDescent="0.3">
      <c r="A369" t="s">
        <v>759</v>
      </c>
      <c r="B369" t="s">
        <v>760</v>
      </c>
      <c r="C369" t="s">
        <v>10</v>
      </c>
      <c r="D369" t="s">
        <v>21</v>
      </c>
      <c r="E369" t="s">
        <v>12</v>
      </c>
      <c r="F369">
        <v>58</v>
      </c>
      <c r="G369" t="s">
        <v>17</v>
      </c>
      <c r="H369">
        <v>17252</v>
      </c>
      <c r="I369" t="str">
        <f t="shared" si="20"/>
        <v>SalesEmp_367</v>
      </c>
      <c r="J369" t="str">
        <f t="shared" si="21"/>
        <v>FemaleSalesBangalore17252</v>
      </c>
      <c r="K369" t="str">
        <f t="shared" si="22"/>
        <v>58PrinterBangalore</v>
      </c>
      <c r="L369" t="str">
        <f t="shared" si="23"/>
        <v>17252Printer</v>
      </c>
    </row>
    <row r="370" spans="1:12" x14ac:dyDescent="0.3">
      <c r="A370" t="s">
        <v>761</v>
      </c>
      <c r="B370" t="s">
        <v>762</v>
      </c>
      <c r="C370" t="s">
        <v>20</v>
      </c>
      <c r="D370" t="s">
        <v>25</v>
      </c>
      <c r="E370" t="s">
        <v>12</v>
      </c>
      <c r="F370">
        <v>48</v>
      </c>
      <c r="G370" t="s">
        <v>62</v>
      </c>
      <c r="H370">
        <v>28972</v>
      </c>
      <c r="I370" t="str">
        <f t="shared" si="20"/>
        <v>HREmp_368</v>
      </c>
      <c r="J370" t="str">
        <f t="shared" si="21"/>
        <v>FemaleHRPune28972</v>
      </c>
      <c r="K370" t="str">
        <f t="shared" si="22"/>
        <v>48MobilePune</v>
      </c>
      <c r="L370" t="str">
        <f t="shared" si="23"/>
        <v>28972Mobile</v>
      </c>
    </row>
    <row r="371" spans="1:12" x14ac:dyDescent="0.3">
      <c r="A371" t="s">
        <v>763</v>
      </c>
      <c r="B371" t="s">
        <v>764</v>
      </c>
      <c r="C371" t="s">
        <v>24</v>
      </c>
      <c r="D371" t="s">
        <v>11</v>
      </c>
      <c r="E371" t="s">
        <v>26</v>
      </c>
      <c r="F371">
        <v>23</v>
      </c>
      <c r="G371" t="s">
        <v>13</v>
      </c>
      <c r="H371">
        <v>26363</v>
      </c>
      <c r="I371" t="str">
        <f t="shared" si="20"/>
        <v>FinanceEmp_369</v>
      </c>
      <c r="J371" t="str">
        <f t="shared" si="21"/>
        <v>MaleFinanceDelhi26363</v>
      </c>
      <c r="K371" t="str">
        <f t="shared" si="22"/>
        <v>23MonitorDelhi</v>
      </c>
      <c r="L371" t="str">
        <f t="shared" si="23"/>
        <v>26363Monitor</v>
      </c>
    </row>
    <row r="372" spans="1:12" x14ac:dyDescent="0.3">
      <c r="A372" t="s">
        <v>765</v>
      </c>
      <c r="B372" t="s">
        <v>766</v>
      </c>
      <c r="C372" t="s">
        <v>20</v>
      </c>
      <c r="D372" t="s">
        <v>55</v>
      </c>
      <c r="E372" t="s">
        <v>26</v>
      </c>
      <c r="F372">
        <v>53</v>
      </c>
      <c r="G372" t="s">
        <v>17</v>
      </c>
      <c r="H372">
        <v>17915</v>
      </c>
      <c r="I372" t="str">
        <f t="shared" si="20"/>
        <v>HREmp_370</v>
      </c>
      <c r="J372" t="str">
        <f t="shared" si="21"/>
        <v>MaleHRHyderabad17915</v>
      </c>
      <c r="K372" t="str">
        <f t="shared" si="22"/>
        <v>53PrinterHyderabad</v>
      </c>
      <c r="L372" t="str">
        <f t="shared" si="23"/>
        <v>17915Printer</v>
      </c>
    </row>
    <row r="373" spans="1:12" x14ac:dyDescent="0.3">
      <c r="A373" t="s">
        <v>767</v>
      </c>
      <c r="B373" t="s">
        <v>768</v>
      </c>
      <c r="C373" t="s">
        <v>24</v>
      </c>
      <c r="D373" t="s">
        <v>16</v>
      </c>
      <c r="E373" t="s">
        <v>12</v>
      </c>
      <c r="F373">
        <v>56</v>
      </c>
      <c r="G373" t="s">
        <v>62</v>
      </c>
      <c r="H373">
        <v>34986</v>
      </c>
      <c r="I373" t="str">
        <f t="shared" si="20"/>
        <v>FinanceEmp_371</v>
      </c>
      <c r="J373" t="str">
        <f t="shared" si="21"/>
        <v>FemaleFinanceMumbai34986</v>
      </c>
      <c r="K373" t="str">
        <f t="shared" si="22"/>
        <v>56MobileMumbai</v>
      </c>
      <c r="L373" t="str">
        <f t="shared" si="23"/>
        <v>34986Mobile</v>
      </c>
    </row>
    <row r="374" spans="1:12" x14ac:dyDescent="0.3">
      <c r="A374" t="s">
        <v>769</v>
      </c>
      <c r="B374" t="s">
        <v>770</v>
      </c>
      <c r="C374" t="s">
        <v>44</v>
      </c>
      <c r="D374" t="s">
        <v>25</v>
      </c>
      <c r="E374" t="s">
        <v>12</v>
      </c>
      <c r="F374">
        <v>40</v>
      </c>
      <c r="G374" t="s">
        <v>62</v>
      </c>
      <c r="H374">
        <v>12468</v>
      </c>
      <c r="I374" t="str">
        <f t="shared" si="20"/>
        <v>ITEmp_372</v>
      </c>
      <c r="J374" t="str">
        <f t="shared" si="21"/>
        <v>FemaleITPune12468</v>
      </c>
      <c r="K374" t="str">
        <f t="shared" si="22"/>
        <v>40MobilePune</v>
      </c>
      <c r="L374" t="str">
        <f t="shared" si="23"/>
        <v>12468Mobile</v>
      </c>
    </row>
    <row r="375" spans="1:12" x14ac:dyDescent="0.3">
      <c r="A375" t="s">
        <v>771</v>
      </c>
      <c r="B375" t="s">
        <v>772</v>
      </c>
      <c r="C375" t="s">
        <v>37</v>
      </c>
      <c r="D375" t="s">
        <v>11</v>
      </c>
      <c r="E375" t="s">
        <v>26</v>
      </c>
      <c r="F375">
        <v>41</v>
      </c>
      <c r="G375" t="s">
        <v>27</v>
      </c>
      <c r="H375">
        <v>22193</v>
      </c>
      <c r="I375" t="str">
        <f t="shared" si="20"/>
        <v>MarketingEmp_373</v>
      </c>
      <c r="J375" t="str">
        <f t="shared" si="21"/>
        <v>MaleMarketingDelhi22193</v>
      </c>
      <c r="K375" t="str">
        <f t="shared" si="22"/>
        <v>41TabletDelhi</v>
      </c>
      <c r="L375" t="str">
        <f t="shared" si="23"/>
        <v>22193Tablet</v>
      </c>
    </row>
    <row r="376" spans="1:12" x14ac:dyDescent="0.3">
      <c r="A376" t="s">
        <v>773</v>
      </c>
      <c r="B376" t="s">
        <v>774</v>
      </c>
      <c r="C376" t="s">
        <v>44</v>
      </c>
      <c r="D376" t="s">
        <v>11</v>
      </c>
      <c r="E376" t="s">
        <v>26</v>
      </c>
      <c r="F376">
        <v>52</v>
      </c>
      <c r="G376" t="s">
        <v>62</v>
      </c>
      <c r="H376">
        <v>48955</v>
      </c>
      <c r="I376" t="str">
        <f t="shared" si="20"/>
        <v>ITEmp_374</v>
      </c>
      <c r="J376" t="str">
        <f t="shared" si="21"/>
        <v>MaleITDelhi48955</v>
      </c>
      <c r="K376" t="str">
        <f t="shared" si="22"/>
        <v>52MobileDelhi</v>
      </c>
      <c r="L376" t="str">
        <f t="shared" si="23"/>
        <v>48955Mobile</v>
      </c>
    </row>
    <row r="377" spans="1:12" x14ac:dyDescent="0.3">
      <c r="A377" t="s">
        <v>775</v>
      </c>
      <c r="B377" t="s">
        <v>776</v>
      </c>
      <c r="C377" t="s">
        <v>37</v>
      </c>
      <c r="D377" t="s">
        <v>21</v>
      </c>
      <c r="E377" t="s">
        <v>12</v>
      </c>
      <c r="F377">
        <v>37</v>
      </c>
      <c r="G377" t="s">
        <v>17</v>
      </c>
      <c r="H377">
        <v>37078</v>
      </c>
      <c r="I377" t="str">
        <f t="shared" si="20"/>
        <v>MarketingEmp_375</v>
      </c>
      <c r="J377" t="str">
        <f t="shared" si="21"/>
        <v>FemaleMarketingBangalore37078</v>
      </c>
      <c r="K377" t="str">
        <f t="shared" si="22"/>
        <v>37PrinterBangalore</v>
      </c>
      <c r="L377" t="str">
        <f t="shared" si="23"/>
        <v>37078Printer</v>
      </c>
    </row>
    <row r="378" spans="1:12" x14ac:dyDescent="0.3">
      <c r="A378" t="s">
        <v>777</v>
      </c>
      <c r="B378" t="s">
        <v>778</v>
      </c>
      <c r="C378" t="s">
        <v>10</v>
      </c>
      <c r="D378" t="s">
        <v>11</v>
      </c>
      <c r="E378" t="s">
        <v>26</v>
      </c>
      <c r="F378">
        <v>47</v>
      </c>
      <c r="G378" t="s">
        <v>32</v>
      </c>
      <c r="H378">
        <v>39584</v>
      </c>
      <c r="I378" t="str">
        <f t="shared" si="20"/>
        <v>SalesEmp_376</v>
      </c>
      <c r="J378" t="str">
        <f t="shared" si="21"/>
        <v>MaleSalesDelhi39584</v>
      </c>
      <c r="K378" t="str">
        <f t="shared" si="22"/>
        <v>47LaptopDelhi</v>
      </c>
      <c r="L378" t="str">
        <f t="shared" si="23"/>
        <v>39584Laptop</v>
      </c>
    </row>
    <row r="379" spans="1:12" x14ac:dyDescent="0.3">
      <c r="A379" t="s">
        <v>779</v>
      </c>
      <c r="B379" t="s">
        <v>780</v>
      </c>
      <c r="C379" t="s">
        <v>10</v>
      </c>
      <c r="D379" t="s">
        <v>16</v>
      </c>
      <c r="E379" t="s">
        <v>12</v>
      </c>
      <c r="F379">
        <v>41</v>
      </c>
      <c r="G379" t="s">
        <v>13</v>
      </c>
      <c r="H379">
        <v>46884</v>
      </c>
      <c r="I379" t="str">
        <f t="shared" si="20"/>
        <v>SalesEmp_377</v>
      </c>
      <c r="J379" t="str">
        <f t="shared" si="21"/>
        <v>FemaleSalesMumbai46884</v>
      </c>
      <c r="K379" t="str">
        <f t="shared" si="22"/>
        <v>41MonitorMumbai</v>
      </c>
      <c r="L379" t="str">
        <f t="shared" si="23"/>
        <v>46884Monitor</v>
      </c>
    </row>
    <row r="380" spans="1:12" x14ac:dyDescent="0.3">
      <c r="A380" t="s">
        <v>781</v>
      </c>
      <c r="B380" t="s">
        <v>782</v>
      </c>
      <c r="C380" t="s">
        <v>10</v>
      </c>
      <c r="D380" t="s">
        <v>16</v>
      </c>
      <c r="E380" t="s">
        <v>26</v>
      </c>
      <c r="F380">
        <v>51</v>
      </c>
      <c r="G380" t="s">
        <v>17</v>
      </c>
      <c r="H380">
        <v>25539</v>
      </c>
      <c r="I380" t="str">
        <f t="shared" si="20"/>
        <v>SalesEmp_378</v>
      </c>
      <c r="J380" t="str">
        <f t="shared" si="21"/>
        <v>MaleSalesMumbai25539</v>
      </c>
      <c r="K380" t="str">
        <f t="shared" si="22"/>
        <v>51PrinterMumbai</v>
      </c>
      <c r="L380" t="str">
        <f t="shared" si="23"/>
        <v>25539Printer</v>
      </c>
    </row>
    <row r="381" spans="1:12" x14ac:dyDescent="0.3">
      <c r="A381" t="s">
        <v>783</v>
      </c>
      <c r="B381" t="s">
        <v>784</v>
      </c>
      <c r="C381" t="s">
        <v>24</v>
      </c>
      <c r="D381" t="s">
        <v>11</v>
      </c>
      <c r="E381" t="s">
        <v>12</v>
      </c>
      <c r="F381">
        <v>26</v>
      </c>
      <c r="G381" t="s">
        <v>17</v>
      </c>
      <c r="H381">
        <v>44123</v>
      </c>
      <c r="I381" t="str">
        <f t="shared" si="20"/>
        <v>FinanceEmp_379</v>
      </c>
      <c r="J381" t="str">
        <f t="shared" si="21"/>
        <v>FemaleFinanceDelhi44123</v>
      </c>
      <c r="K381" t="str">
        <f t="shared" si="22"/>
        <v>26PrinterDelhi</v>
      </c>
      <c r="L381" t="str">
        <f t="shared" si="23"/>
        <v>44123Printer</v>
      </c>
    </row>
    <row r="382" spans="1:12" x14ac:dyDescent="0.3">
      <c r="A382" t="s">
        <v>785</v>
      </c>
      <c r="B382" t="s">
        <v>786</v>
      </c>
      <c r="C382" t="s">
        <v>37</v>
      </c>
      <c r="D382" t="s">
        <v>21</v>
      </c>
      <c r="E382" t="s">
        <v>26</v>
      </c>
      <c r="F382">
        <v>25</v>
      </c>
      <c r="G382" t="s">
        <v>13</v>
      </c>
      <c r="H382">
        <v>30469</v>
      </c>
      <c r="I382" t="str">
        <f t="shared" si="20"/>
        <v>MarketingEmp_380</v>
      </c>
      <c r="J382" t="str">
        <f t="shared" si="21"/>
        <v>MaleMarketingBangalore30469</v>
      </c>
      <c r="K382" t="str">
        <f t="shared" si="22"/>
        <v>25MonitorBangalore</v>
      </c>
      <c r="L382" t="str">
        <f t="shared" si="23"/>
        <v>30469Monitor</v>
      </c>
    </row>
    <row r="383" spans="1:12" x14ac:dyDescent="0.3">
      <c r="A383" t="s">
        <v>787</v>
      </c>
      <c r="B383" t="s">
        <v>788</v>
      </c>
      <c r="C383" t="s">
        <v>10</v>
      </c>
      <c r="D383" t="s">
        <v>25</v>
      </c>
      <c r="E383" t="s">
        <v>12</v>
      </c>
      <c r="F383">
        <v>32</v>
      </c>
      <c r="G383" t="s">
        <v>13</v>
      </c>
      <c r="H383">
        <v>45062</v>
      </c>
      <c r="I383" t="str">
        <f t="shared" si="20"/>
        <v>SalesEmp_381</v>
      </c>
      <c r="J383" t="str">
        <f t="shared" si="21"/>
        <v>FemaleSalesPune45062</v>
      </c>
      <c r="K383" t="str">
        <f t="shared" si="22"/>
        <v>32MonitorPune</v>
      </c>
      <c r="L383" t="str">
        <f t="shared" si="23"/>
        <v>45062Monitor</v>
      </c>
    </row>
    <row r="384" spans="1:12" x14ac:dyDescent="0.3">
      <c r="A384" t="s">
        <v>789</v>
      </c>
      <c r="B384" t="s">
        <v>790</v>
      </c>
      <c r="C384" t="s">
        <v>20</v>
      </c>
      <c r="D384" t="s">
        <v>25</v>
      </c>
      <c r="E384" t="s">
        <v>26</v>
      </c>
      <c r="F384">
        <v>50</v>
      </c>
      <c r="G384" t="s">
        <v>62</v>
      </c>
      <c r="H384">
        <v>30725</v>
      </c>
      <c r="I384" t="str">
        <f t="shared" si="20"/>
        <v>HREmp_382</v>
      </c>
      <c r="J384" t="str">
        <f t="shared" si="21"/>
        <v>MaleHRPune30725</v>
      </c>
      <c r="K384" t="str">
        <f t="shared" si="22"/>
        <v>50MobilePune</v>
      </c>
      <c r="L384" t="str">
        <f t="shared" si="23"/>
        <v>30725Mobile</v>
      </c>
    </row>
    <row r="385" spans="1:12" x14ac:dyDescent="0.3">
      <c r="A385" t="s">
        <v>791</v>
      </c>
      <c r="B385" t="s">
        <v>792</v>
      </c>
      <c r="C385" t="s">
        <v>37</v>
      </c>
      <c r="D385" t="s">
        <v>21</v>
      </c>
      <c r="E385" t="s">
        <v>12</v>
      </c>
      <c r="F385">
        <v>48</v>
      </c>
      <c r="G385" t="s">
        <v>17</v>
      </c>
      <c r="H385">
        <v>43469</v>
      </c>
      <c r="I385" t="str">
        <f t="shared" si="20"/>
        <v>MarketingEmp_383</v>
      </c>
      <c r="J385" t="str">
        <f t="shared" si="21"/>
        <v>FemaleMarketingBangalore43469</v>
      </c>
      <c r="K385" t="str">
        <f t="shared" si="22"/>
        <v>48PrinterBangalore</v>
      </c>
      <c r="L385" t="str">
        <f t="shared" si="23"/>
        <v>43469Printer</v>
      </c>
    </row>
    <row r="386" spans="1:12" x14ac:dyDescent="0.3">
      <c r="A386" t="s">
        <v>793</v>
      </c>
      <c r="B386" t="s">
        <v>794</v>
      </c>
      <c r="C386" t="s">
        <v>37</v>
      </c>
      <c r="D386" t="s">
        <v>55</v>
      </c>
      <c r="E386" t="s">
        <v>26</v>
      </c>
      <c r="F386">
        <v>52</v>
      </c>
      <c r="G386" t="s">
        <v>62</v>
      </c>
      <c r="H386">
        <v>12486</v>
      </c>
      <c r="I386" t="str">
        <f t="shared" si="20"/>
        <v>MarketingEmp_384</v>
      </c>
      <c r="J386" t="str">
        <f t="shared" si="21"/>
        <v>MaleMarketingHyderabad12486</v>
      </c>
      <c r="K386" t="str">
        <f t="shared" si="22"/>
        <v>52MobileHyderabad</v>
      </c>
      <c r="L386" t="str">
        <f t="shared" si="23"/>
        <v>12486Mobile</v>
      </c>
    </row>
    <row r="387" spans="1:12" x14ac:dyDescent="0.3">
      <c r="A387" t="s">
        <v>795</v>
      </c>
      <c r="B387" t="s">
        <v>796</v>
      </c>
      <c r="C387" t="s">
        <v>24</v>
      </c>
      <c r="D387" t="s">
        <v>16</v>
      </c>
      <c r="E387" t="s">
        <v>12</v>
      </c>
      <c r="F387">
        <v>51</v>
      </c>
      <c r="G387" t="s">
        <v>27</v>
      </c>
      <c r="H387">
        <v>27801</v>
      </c>
      <c r="I387" t="str">
        <f t="shared" ref="I387:I450" si="24">_xlfn.CONCAT(C387,B387)</f>
        <v>FinanceEmp_385</v>
      </c>
      <c r="J387" t="str">
        <f t="shared" ref="J387:J450" si="25">_xlfn.CONCAT(E387,C387,D387,H387)</f>
        <v>FemaleFinanceMumbai27801</v>
      </c>
      <c r="K387" t="str">
        <f t="shared" ref="K387:K450" si="26">_xlfn.CONCAT(F387,G387,D387)</f>
        <v>51TabletMumbai</v>
      </c>
      <c r="L387" t="str">
        <f t="shared" ref="L387:L450" si="27">_xlfn.CONCAT(H387,G387)</f>
        <v>27801Tablet</v>
      </c>
    </row>
    <row r="388" spans="1:12" x14ac:dyDescent="0.3">
      <c r="A388" t="s">
        <v>797</v>
      </c>
      <c r="B388" t="s">
        <v>798</v>
      </c>
      <c r="C388" t="s">
        <v>44</v>
      </c>
      <c r="D388" t="s">
        <v>55</v>
      </c>
      <c r="E388" t="s">
        <v>12</v>
      </c>
      <c r="F388">
        <v>35</v>
      </c>
      <c r="G388" t="s">
        <v>62</v>
      </c>
      <c r="H388">
        <v>28067</v>
      </c>
      <c r="I388" t="str">
        <f t="shared" si="24"/>
        <v>ITEmp_386</v>
      </c>
      <c r="J388" t="str">
        <f t="shared" si="25"/>
        <v>FemaleITHyderabad28067</v>
      </c>
      <c r="K388" t="str">
        <f t="shared" si="26"/>
        <v>35MobileHyderabad</v>
      </c>
      <c r="L388" t="str">
        <f t="shared" si="27"/>
        <v>28067Mobile</v>
      </c>
    </row>
    <row r="389" spans="1:12" x14ac:dyDescent="0.3">
      <c r="A389" t="s">
        <v>799</v>
      </c>
      <c r="B389" t="s">
        <v>800</v>
      </c>
      <c r="C389" t="s">
        <v>24</v>
      </c>
      <c r="D389" t="s">
        <v>21</v>
      </c>
      <c r="E389" t="s">
        <v>12</v>
      </c>
      <c r="F389">
        <v>43</v>
      </c>
      <c r="G389" t="s">
        <v>27</v>
      </c>
      <c r="H389">
        <v>35006</v>
      </c>
      <c r="I389" t="str">
        <f t="shared" si="24"/>
        <v>FinanceEmp_387</v>
      </c>
      <c r="J389" t="str">
        <f t="shared" si="25"/>
        <v>FemaleFinanceBangalore35006</v>
      </c>
      <c r="K389" t="str">
        <f t="shared" si="26"/>
        <v>43TabletBangalore</v>
      </c>
      <c r="L389" t="str">
        <f t="shared" si="27"/>
        <v>35006Tablet</v>
      </c>
    </row>
    <row r="390" spans="1:12" x14ac:dyDescent="0.3">
      <c r="A390" t="s">
        <v>801</v>
      </c>
      <c r="B390" t="s">
        <v>802</v>
      </c>
      <c r="C390" t="s">
        <v>10</v>
      </c>
      <c r="D390" t="s">
        <v>55</v>
      </c>
      <c r="E390" t="s">
        <v>12</v>
      </c>
      <c r="F390">
        <v>60</v>
      </c>
      <c r="G390" t="s">
        <v>32</v>
      </c>
      <c r="H390">
        <v>45459</v>
      </c>
      <c r="I390" t="str">
        <f t="shared" si="24"/>
        <v>SalesEmp_388</v>
      </c>
      <c r="J390" t="str">
        <f t="shared" si="25"/>
        <v>FemaleSalesHyderabad45459</v>
      </c>
      <c r="K390" t="str">
        <f t="shared" si="26"/>
        <v>60LaptopHyderabad</v>
      </c>
      <c r="L390" t="str">
        <f t="shared" si="27"/>
        <v>45459Laptop</v>
      </c>
    </row>
    <row r="391" spans="1:12" x14ac:dyDescent="0.3">
      <c r="A391" t="s">
        <v>803</v>
      </c>
      <c r="B391" t="s">
        <v>804</v>
      </c>
      <c r="C391" t="s">
        <v>20</v>
      </c>
      <c r="D391" t="s">
        <v>21</v>
      </c>
      <c r="E391" t="s">
        <v>12</v>
      </c>
      <c r="F391">
        <v>31</v>
      </c>
      <c r="G391" t="s">
        <v>17</v>
      </c>
      <c r="H391">
        <v>16306</v>
      </c>
      <c r="I391" t="str">
        <f t="shared" si="24"/>
        <v>HREmp_389</v>
      </c>
      <c r="J391" t="str">
        <f t="shared" si="25"/>
        <v>FemaleHRBangalore16306</v>
      </c>
      <c r="K391" t="str">
        <f t="shared" si="26"/>
        <v>31PrinterBangalore</v>
      </c>
      <c r="L391" t="str">
        <f t="shared" si="27"/>
        <v>16306Printer</v>
      </c>
    </row>
    <row r="392" spans="1:12" x14ac:dyDescent="0.3">
      <c r="A392" t="s">
        <v>805</v>
      </c>
      <c r="B392" t="s">
        <v>806</v>
      </c>
      <c r="C392" t="s">
        <v>20</v>
      </c>
      <c r="D392" t="s">
        <v>25</v>
      </c>
      <c r="E392" t="s">
        <v>26</v>
      </c>
      <c r="F392">
        <v>42</v>
      </c>
      <c r="G392" t="s">
        <v>27</v>
      </c>
      <c r="H392">
        <v>49144</v>
      </c>
      <c r="I392" t="str">
        <f t="shared" si="24"/>
        <v>HREmp_390</v>
      </c>
      <c r="J392" t="str">
        <f t="shared" si="25"/>
        <v>MaleHRPune49144</v>
      </c>
      <c r="K392" t="str">
        <f t="shared" si="26"/>
        <v>42TabletPune</v>
      </c>
      <c r="L392" t="str">
        <f t="shared" si="27"/>
        <v>49144Tablet</v>
      </c>
    </row>
    <row r="393" spans="1:12" x14ac:dyDescent="0.3">
      <c r="A393" t="s">
        <v>807</v>
      </c>
      <c r="B393" t="s">
        <v>808</v>
      </c>
      <c r="C393" t="s">
        <v>10</v>
      </c>
      <c r="D393" t="s">
        <v>25</v>
      </c>
      <c r="E393" t="s">
        <v>12</v>
      </c>
      <c r="F393">
        <v>42</v>
      </c>
      <c r="G393" t="s">
        <v>32</v>
      </c>
      <c r="H393">
        <v>24493</v>
      </c>
      <c r="I393" t="str">
        <f t="shared" si="24"/>
        <v>SalesEmp_391</v>
      </c>
      <c r="J393" t="str">
        <f t="shared" si="25"/>
        <v>FemaleSalesPune24493</v>
      </c>
      <c r="K393" t="str">
        <f t="shared" si="26"/>
        <v>42LaptopPune</v>
      </c>
      <c r="L393" t="str">
        <f t="shared" si="27"/>
        <v>24493Laptop</v>
      </c>
    </row>
    <row r="394" spans="1:12" x14ac:dyDescent="0.3">
      <c r="A394" t="s">
        <v>809</v>
      </c>
      <c r="B394" t="s">
        <v>810</v>
      </c>
      <c r="C394" t="s">
        <v>20</v>
      </c>
      <c r="D394" t="s">
        <v>55</v>
      </c>
      <c r="E394" t="s">
        <v>26</v>
      </c>
      <c r="F394">
        <v>44</v>
      </c>
      <c r="G394" t="s">
        <v>13</v>
      </c>
      <c r="H394">
        <v>45270</v>
      </c>
      <c r="I394" t="str">
        <f t="shared" si="24"/>
        <v>HREmp_392</v>
      </c>
      <c r="J394" t="str">
        <f t="shared" si="25"/>
        <v>MaleHRHyderabad45270</v>
      </c>
      <c r="K394" t="str">
        <f t="shared" si="26"/>
        <v>44MonitorHyderabad</v>
      </c>
      <c r="L394" t="str">
        <f t="shared" si="27"/>
        <v>45270Monitor</v>
      </c>
    </row>
    <row r="395" spans="1:12" x14ac:dyDescent="0.3">
      <c r="A395" t="s">
        <v>811</v>
      </c>
      <c r="B395" t="s">
        <v>812</v>
      </c>
      <c r="C395" t="s">
        <v>24</v>
      </c>
      <c r="D395" t="s">
        <v>55</v>
      </c>
      <c r="E395" t="s">
        <v>12</v>
      </c>
      <c r="F395">
        <v>47</v>
      </c>
      <c r="G395" t="s">
        <v>62</v>
      </c>
      <c r="H395">
        <v>43677</v>
      </c>
      <c r="I395" t="str">
        <f t="shared" si="24"/>
        <v>FinanceEmp_393</v>
      </c>
      <c r="J395" t="str">
        <f t="shared" si="25"/>
        <v>FemaleFinanceHyderabad43677</v>
      </c>
      <c r="K395" t="str">
        <f t="shared" si="26"/>
        <v>47MobileHyderabad</v>
      </c>
      <c r="L395" t="str">
        <f t="shared" si="27"/>
        <v>43677Mobile</v>
      </c>
    </row>
    <row r="396" spans="1:12" x14ac:dyDescent="0.3">
      <c r="A396" t="s">
        <v>813</v>
      </c>
      <c r="B396" t="s">
        <v>814</v>
      </c>
      <c r="C396" t="s">
        <v>24</v>
      </c>
      <c r="D396" t="s">
        <v>16</v>
      </c>
      <c r="E396" t="s">
        <v>26</v>
      </c>
      <c r="F396">
        <v>30</v>
      </c>
      <c r="G396" t="s">
        <v>32</v>
      </c>
      <c r="H396">
        <v>10554</v>
      </c>
      <c r="I396" t="str">
        <f t="shared" si="24"/>
        <v>FinanceEmp_394</v>
      </c>
      <c r="J396" t="str">
        <f t="shared" si="25"/>
        <v>MaleFinanceMumbai10554</v>
      </c>
      <c r="K396" t="str">
        <f t="shared" si="26"/>
        <v>30LaptopMumbai</v>
      </c>
      <c r="L396" t="str">
        <f t="shared" si="27"/>
        <v>10554Laptop</v>
      </c>
    </row>
    <row r="397" spans="1:12" x14ac:dyDescent="0.3">
      <c r="A397" t="s">
        <v>815</v>
      </c>
      <c r="B397" t="s">
        <v>816</v>
      </c>
      <c r="C397" t="s">
        <v>10</v>
      </c>
      <c r="D397" t="s">
        <v>25</v>
      </c>
      <c r="E397" t="s">
        <v>12</v>
      </c>
      <c r="F397">
        <v>45</v>
      </c>
      <c r="G397" t="s">
        <v>27</v>
      </c>
      <c r="H397">
        <v>49047</v>
      </c>
      <c r="I397" t="str">
        <f t="shared" si="24"/>
        <v>SalesEmp_395</v>
      </c>
      <c r="J397" t="str">
        <f t="shared" si="25"/>
        <v>FemaleSalesPune49047</v>
      </c>
      <c r="K397" t="str">
        <f t="shared" si="26"/>
        <v>45TabletPune</v>
      </c>
      <c r="L397" t="str">
        <f t="shared" si="27"/>
        <v>49047Tablet</v>
      </c>
    </row>
    <row r="398" spans="1:12" x14ac:dyDescent="0.3">
      <c r="A398" t="s">
        <v>817</v>
      </c>
      <c r="B398" t="s">
        <v>818</v>
      </c>
      <c r="C398" t="s">
        <v>20</v>
      </c>
      <c r="D398" t="s">
        <v>16</v>
      </c>
      <c r="E398" t="s">
        <v>12</v>
      </c>
      <c r="F398">
        <v>54</v>
      </c>
      <c r="G398" t="s">
        <v>17</v>
      </c>
      <c r="H398">
        <v>13778</v>
      </c>
      <c r="I398" t="str">
        <f t="shared" si="24"/>
        <v>HREmp_396</v>
      </c>
      <c r="J398" t="str">
        <f t="shared" si="25"/>
        <v>FemaleHRMumbai13778</v>
      </c>
      <c r="K398" t="str">
        <f t="shared" si="26"/>
        <v>54PrinterMumbai</v>
      </c>
      <c r="L398" t="str">
        <f t="shared" si="27"/>
        <v>13778Printer</v>
      </c>
    </row>
    <row r="399" spans="1:12" x14ac:dyDescent="0.3">
      <c r="A399" t="s">
        <v>819</v>
      </c>
      <c r="B399" t="s">
        <v>820</v>
      </c>
      <c r="C399" t="s">
        <v>37</v>
      </c>
      <c r="D399" t="s">
        <v>55</v>
      </c>
      <c r="E399" t="s">
        <v>26</v>
      </c>
      <c r="F399">
        <v>57</v>
      </c>
      <c r="G399" t="s">
        <v>13</v>
      </c>
      <c r="H399">
        <v>25524</v>
      </c>
      <c r="I399" t="str">
        <f t="shared" si="24"/>
        <v>MarketingEmp_397</v>
      </c>
      <c r="J399" t="str">
        <f t="shared" si="25"/>
        <v>MaleMarketingHyderabad25524</v>
      </c>
      <c r="K399" t="str">
        <f t="shared" si="26"/>
        <v>57MonitorHyderabad</v>
      </c>
      <c r="L399" t="str">
        <f t="shared" si="27"/>
        <v>25524Monitor</v>
      </c>
    </row>
    <row r="400" spans="1:12" x14ac:dyDescent="0.3">
      <c r="A400" t="s">
        <v>821</v>
      </c>
      <c r="B400" t="s">
        <v>822</v>
      </c>
      <c r="C400" t="s">
        <v>44</v>
      </c>
      <c r="D400" t="s">
        <v>21</v>
      </c>
      <c r="E400" t="s">
        <v>12</v>
      </c>
      <c r="F400">
        <v>28</v>
      </c>
      <c r="G400" t="s">
        <v>13</v>
      </c>
      <c r="H400">
        <v>12724</v>
      </c>
      <c r="I400" t="str">
        <f t="shared" si="24"/>
        <v>ITEmp_398</v>
      </c>
      <c r="J400" t="str">
        <f t="shared" si="25"/>
        <v>FemaleITBangalore12724</v>
      </c>
      <c r="K400" t="str">
        <f t="shared" si="26"/>
        <v>28MonitorBangalore</v>
      </c>
      <c r="L400" t="str">
        <f t="shared" si="27"/>
        <v>12724Monitor</v>
      </c>
    </row>
    <row r="401" spans="1:12" x14ac:dyDescent="0.3">
      <c r="A401" t="s">
        <v>823</v>
      </c>
      <c r="B401" t="s">
        <v>824</v>
      </c>
      <c r="C401" t="s">
        <v>37</v>
      </c>
      <c r="D401" t="s">
        <v>25</v>
      </c>
      <c r="E401" t="s">
        <v>26</v>
      </c>
      <c r="F401">
        <v>42</v>
      </c>
      <c r="G401" t="s">
        <v>32</v>
      </c>
      <c r="H401">
        <v>20635</v>
      </c>
      <c r="I401" t="str">
        <f t="shared" si="24"/>
        <v>MarketingEmp_399</v>
      </c>
      <c r="J401" t="str">
        <f t="shared" si="25"/>
        <v>MaleMarketingPune20635</v>
      </c>
      <c r="K401" t="str">
        <f t="shared" si="26"/>
        <v>42LaptopPune</v>
      </c>
      <c r="L401" t="str">
        <f t="shared" si="27"/>
        <v>20635Laptop</v>
      </c>
    </row>
    <row r="402" spans="1:12" x14ac:dyDescent="0.3">
      <c r="A402" t="s">
        <v>825</v>
      </c>
      <c r="B402" t="s">
        <v>826</v>
      </c>
      <c r="C402" t="s">
        <v>24</v>
      </c>
      <c r="D402" t="s">
        <v>21</v>
      </c>
      <c r="E402" t="s">
        <v>26</v>
      </c>
      <c r="F402">
        <v>37</v>
      </c>
      <c r="G402" t="s">
        <v>32</v>
      </c>
      <c r="H402">
        <v>25013</v>
      </c>
      <c r="I402" t="str">
        <f t="shared" si="24"/>
        <v>FinanceEmp_400</v>
      </c>
      <c r="J402" t="str">
        <f t="shared" si="25"/>
        <v>MaleFinanceBangalore25013</v>
      </c>
      <c r="K402" t="str">
        <f t="shared" si="26"/>
        <v>37LaptopBangalore</v>
      </c>
      <c r="L402" t="str">
        <f t="shared" si="27"/>
        <v>25013Laptop</v>
      </c>
    </row>
    <row r="403" spans="1:12" x14ac:dyDescent="0.3">
      <c r="A403" t="s">
        <v>827</v>
      </c>
      <c r="B403" t="s">
        <v>828</v>
      </c>
      <c r="C403" t="s">
        <v>24</v>
      </c>
      <c r="D403" t="s">
        <v>16</v>
      </c>
      <c r="E403" t="s">
        <v>12</v>
      </c>
      <c r="F403">
        <v>51</v>
      </c>
      <c r="G403" t="s">
        <v>62</v>
      </c>
      <c r="H403">
        <v>12664</v>
      </c>
      <c r="I403" t="str">
        <f t="shared" si="24"/>
        <v>FinanceEmp_401</v>
      </c>
      <c r="J403" t="str">
        <f t="shared" si="25"/>
        <v>FemaleFinanceMumbai12664</v>
      </c>
      <c r="K403" t="str">
        <f t="shared" si="26"/>
        <v>51MobileMumbai</v>
      </c>
      <c r="L403" t="str">
        <f t="shared" si="27"/>
        <v>12664Mobile</v>
      </c>
    </row>
    <row r="404" spans="1:12" x14ac:dyDescent="0.3">
      <c r="A404" t="s">
        <v>829</v>
      </c>
      <c r="B404" t="s">
        <v>830</v>
      </c>
      <c r="C404" t="s">
        <v>24</v>
      </c>
      <c r="D404" t="s">
        <v>16</v>
      </c>
      <c r="E404" t="s">
        <v>12</v>
      </c>
      <c r="F404">
        <v>29</v>
      </c>
      <c r="G404" t="s">
        <v>13</v>
      </c>
      <c r="H404">
        <v>16996</v>
      </c>
      <c r="I404" t="str">
        <f t="shared" si="24"/>
        <v>FinanceEmp_402</v>
      </c>
      <c r="J404" t="str">
        <f t="shared" si="25"/>
        <v>FemaleFinanceMumbai16996</v>
      </c>
      <c r="K404" t="str">
        <f t="shared" si="26"/>
        <v>29MonitorMumbai</v>
      </c>
      <c r="L404" t="str">
        <f t="shared" si="27"/>
        <v>16996Monitor</v>
      </c>
    </row>
    <row r="405" spans="1:12" x14ac:dyDescent="0.3">
      <c r="A405" t="s">
        <v>831</v>
      </c>
      <c r="B405" t="s">
        <v>832</v>
      </c>
      <c r="C405" t="s">
        <v>24</v>
      </c>
      <c r="D405" t="s">
        <v>11</v>
      </c>
      <c r="E405" t="s">
        <v>26</v>
      </c>
      <c r="F405">
        <v>39</v>
      </c>
      <c r="G405" t="s">
        <v>13</v>
      </c>
      <c r="H405">
        <v>29464</v>
      </c>
      <c r="I405" t="str">
        <f t="shared" si="24"/>
        <v>FinanceEmp_403</v>
      </c>
      <c r="J405" t="str">
        <f t="shared" si="25"/>
        <v>MaleFinanceDelhi29464</v>
      </c>
      <c r="K405" t="str">
        <f t="shared" si="26"/>
        <v>39MonitorDelhi</v>
      </c>
      <c r="L405" t="str">
        <f t="shared" si="27"/>
        <v>29464Monitor</v>
      </c>
    </row>
    <row r="406" spans="1:12" x14ac:dyDescent="0.3">
      <c r="A406" t="s">
        <v>833</v>
      </c>
      <c r="B406" t="s">
        <v>834</v>
      </c>
      <c r="C406" t="s">
        <v>44</v>
      </c>
      <c r="D406" t="s">
        <v>25</v>
      </c>
      <c r="E406" t="s">
        <v>12</v>
      </c>
      <c r="F406">
        <v>50</v>
      </c>
      <c r="G406" t="s">
        <v>62</v>
      </c>
      <c r="H406">
        <v>14264</v>
      </c>
      <c r="I406" t="str">
        <f t="shared" si="24"/>
        <v>ITEmp_404</v>
      </c>
      <c r="J406" t="str">
        <f t="shared" si="25"/>
        <v>FemaleITPune14264</v>
      </c>
      <c r="K406" t="str">
        <f t="shared" si="26"/>
        <v>50MobilePune</v>
      </c>
      <c r="L406" t="str">
        <f t="shared" si="27"/>
        <v>14264Mobile</v>
      </c>
    </row>
    <row r="407" spans="1:12" x14ac:dyDescent="0.3">
      <c r="A407" t="s">
        <v>835</v>
      </c>
      <c r="B407" t="s">
        <v>836</v>
      </c>
      <c r="C407" t="s">
        <v>10</v>
      </c>
      <c r="D407" t="s">
        <v>25</v>
      </c>
      <c r="E407" t="s">
        <v>12</v>
      </c>
      <c r="F407">
        <v>37</v>
      </c>
      <c r="G407" t="s">
        <v>17</v>
      </c>
      <c r="H407">
        <v>38477</v>
      </c>
      <c r="I407" t="str">
        <f t="shared" si="24"/>
        <v>SalesEmp_405</v>
      </c>
      <c r="J407" t="str">
        <f t="shared" si="25"/>
        <v>FemaleSalesPune38477</v>
      </c>
      <c r="K407" t="str">
        <f t="shared" si="26"/>
        <v>37PrinterPune</v>
      </c>
      <c r="L407" t="str">
        <f t="shared" si="27"/>
        <v>38477Printer</v>
      </c>
    </row>
    <row r="408" spans="1:12" x14ac:dyDescent="0.3">
      <c r="A408" t="s">
        <v>837</v>
      </c>
      <c r="B408" t="s">
        <v>838</v>
      </c>
      <c r="C408" t="s">
        <v>24</v>
      </c>
      <c r="D408" t="s">
        <v>16</v>
      </c>
      <c r="E408" t="s">
        <v>12</v>
      </c>
      <c r="F408">
        <v>31</v>
      </c>
      <c r="G408" t="s">
        <v>62</v>
      </c>
      <c r="H408">
        <v>30458</v>
      </c>
      <c r="I408" t="str">
        <f t="shared" si="24"/>
        <v>FinanceEmp_406</v>
      </c>
      <c r="J408" t="str">
        <f t="shared" si="25"/>
        <v>FemaleFinanceMumbai30458</v>
      </c>
      <c r="K408" t="str">
        <f t="shared" si="26"/>
        <v>31MobileMumbai</v>
      </c>
      <c r="L408" t="str">
        <f t="shared" si="27"/>
        <v>30458Mobile</v>
      </c>
    </row>
    <row r="409" spans="1:12" x14ac:dyDescent="0.3">
      <c r="A409" t="s">
        <v>839</v>
      </c>
      <c r="B409" t="s">
        <v>840</v>
      </c>
      <c r="C409" t="s">
        <v>20</v>
      </c>
      <c r="D409" t="s">
        <v>21</v>
      </c>
      <c r="E409" t="s">
        <v>26</v>
      </c>
      <c r="F409">
        <v>28</v>
      </c>
      <c r="G409" t="s">
        <v>27</v>
      </c>
      <c r="H409">
        <v>32409</v>
      </c>
      <c r="I409" t="str">
        <f t="shared" si="24"/>
        <v>HREmp_407</v>
      </c>
      <c r="J409" t="str">
        <f t="shared" si="25"/>
        <v>MaleHRBangalore32409</v>
      </c>
      <c r="K409" t="str">
        <f t="shared" si="26"/>
        <v>28TabletBangalore</v>
      </c>
      <c r="L409" t="str">
        <f t="shared" si="27"/>
        <v>32409Tablet</v>
      </c>
    </row>
    <row r="410" spans="1:12" x14ac:dyDescent="0.3">
      <c r="A410" t="s">
        <v>841</v>
      </c>
      <c r="B410" t="s">
        <v>842</v>
      </c>
      <c r="C410" t="s">
        <v>44</v>
      </c>
      <c r="D410" t="s">
        <v>25</v>
      </c>
      <c r="E410" t="s">
        <v>12</v>
      </c>
      <c r="F410">
        <v>25</v>
      </c>
      <c r="G410" t="s">
        <v>27</v>
      </c>
      <c r="H410">
        <v>44087</v>
      </c>
      <c r="I410" t="str">
        <f t="shared" si="24"/>
        <v>ITEmp_408</v>
      </c>
      <c r="J410" t="str">
        <f t="shared" si="25"/>
        <v>FemaleITPune44087</v>
      </c>
      <c r="K410" t="str">
        <f t="shared" si="26"/>
        <v>25TabletPune</v>
      </c>
      <c r="L410" t="str">
        <f t="shared" si="27"/>
        <v>44087Tablet</v>
      </c>
    </row>
    <row r="411" spans="1:12" x14ac:dyDescent="0.3">
      <c r="A411" t="s">
        <v>843</v>
      </c>
      <c r="B411" t="s">
        <v>844</v>
      </c>
      <c r="C411" t="s">
        <v>24</v>
      </c>
      <c r="D411" t="s">
        <v>16</v>
      </c>
      <c r="E411" t="s">
        <v>26</v>
      </c>
      <c r="F411">
        <v>40</v>
      </c>
      <c r="G411" t="s">
        <v>32</v>
      </c>
      <c r="H411">
        <v>14035</v>
      </c>
      <c r="I411" t="str">
        <f t="shared" si="24"/>
        <v>FinanceEmp_409</v>
      </c>
      <c r="J411" t="str">
        <f t="shared" si="25"/>
        <v>MaleFinanceMumbai14035</v>
      </c>
      <c r="K411" t="str">
        <f t="shared" si="26"/>
        <v>40LaptopMumbai</v>
      </c>
      <c r="L411" t="str">
        <f t="shared" si="27"/>
        <v>14035Laptop</v>
      </c>
    </row>
    <row r="412" spans="1:12" x14ac:dyDescent="0.3">
      <c r="A412" t="s">
        <v>845</v>
      </c>
      <c r="B412" t="s">
        <v>846</v>
      </c>
      <c r="C412" t="s">
        <v>20</v>
      </c>
      <c r="D412" t="s">
        <v>11</v>
      </c>
      <c r="E412" t="s">
        <v>26</v>
      </c>
      <c r="F412">
        <v>46</v>
      </c>
      <c r="G412" t="s">
        <v>62</v>
      </c>
      <c r="H412">
        <v>42670</v>
      </c>
      <c r="I412" t="str">
        <f t="shared" si="24"/>
        <v>HREmp_410</v>
      </c>
      <c r="J412" t="str">
        <f t="shared" si="25"/>
        <v>MaleHRDelhi42670</v>
      </c>
      <c r="K412" t="str">
        <f t="shared" si="26"/>
        <v>46MobileDelhi</v>
      </c>
      <c r="L412" t="str">
        <f t="shared" si="27"/>
        <v>42670Mobile</v>
      </c>
    </row>
    <row r="413" spans="1:12" x14ac:dyDescent="0.3">
      <c r="A413" t="s">
        <v>847</v>
      </c>
      <c r="B413" t="s">
        <v>848</v>
      </c>
      <c r="C413" t="s">
        <v>24</v>
      </c>
      <c r="D413" t="s">
        <v>55</v>
      </c>
      <c r="E413" t="s">
        <v>26</v>
      </c>
      <c r="F413">
        <v>48</v>
      </c>
      <c r="G413" t="s">
        <v>62</v>
      </c>
      <c r="H413">
        <v>30146</v>
      </c>
      <c r="I413" t="str">
        <f t="shared" si="24"/>
        <v>FinanceEmp_411</v>
      </c>
      <c r="J413" t="str">
        <f t="shared" si="25"/>
        <v>MaleFinanceHyderabad30146</v>
      </c>
      <c r="K413" t="str">
        <f t="shared" si="26"/>
        <v>48MobileHyderabad</v>
      </c>
      <c r="L413" t="str">
        <f t="shared" si="27"/>
        <v>30146Mobile</v>
      </c>
    </row>
    <row r="414" spans="1:12" x14ac:dyDescent="0.3">
      <c r="A414" t="s">
        <v>849</v>
      </c>
      <c r="B414" t="s">
        <v>850</v>
      </c>
      <c r="C414" t="s">
        <v>10</v>
      </c>
      <c r="D414" t="s">
        <v>25</v>
      </c>
      <c r="E414" t="s">
        <v>26</v>
      </c>
      <c r="F414">
        <v>37</v>
      </c>
      <c r="G414" t="s">
        <v>32</v>
      </c>
      <c r="H414">
        <v>32724</v>
      </c>
      <c r="I414" t="str">
        <f t="shared" si="24"/>
        <v>SalesEmp_412</v>
      </c>
      <c r="J414" t="str">
        <f t="shared" si="25"/>
        <v>MaleSalesPune32724</v>
      </c>
      <c r="K414" t="str">
        <f t="shared" si="26"/>
        <v>37LaptopPune</v>
      </c>
      <c r="L414" t="str">
        <f t="shared" si="27"/>
        <v>32724Laptop</v>
      </c>
    </row>
    <row r="415" spans="1:12" x14ac:dyDescent="0.3">
      <c r="A415" t="s">
        <v>851</v>
      </c>
      <c r="B415" t="s">
        <v>852</v>
      </c>
      <c r="C415" t="s">
        <v>44</v>
      </c>
      <c r="D415" t="s">
        <v>55</v>
      </c>
      <c r="E415" t="s">
        <v>12</v>
      </c>
      <c r="F415">
        <v>32</v>
      </c>
      <c r="G415" t="s">
        <v>17</v>
      </c>
      <c r="H415">
        <v>17173</v>
      </c>
      <c r="I415" t="str">
        <f t="shared" si="24"/>
        <v>ITEmp_413</v>
      </c>
      <c r="J415" t="str">
        <f t="shared" si="25"/>
        <v>FemaleITHyderabad17173</v>
      </c>
      <c r="K415" t="str">
        <f t="shared" si="26"/>
        <v>32PrinterHyderabad</v>
      </c>
      <c r="L415" t="str">
        <f t="shared" si="27"/>
        <v>17173Printer</v>
      </c>
    </row>
    <row r="416" spans="1:12" x14ac:dyDescent="0.3">
      <c r="A416" t="s">
        <v>853</v>
      </c>
      <c r="B416" t="s">
        <v>854</v>
      </c>
      <c r="C416" t="s">
        <v>10</v>
      </c>
      <c r="D416" t="s">
        <v>21</v>
      </c>
      <c r="E416" t="s">
        <v>12</v>
      </c>
      <c r="F416">
        <v>42</v>
      </c>
      <c r="G416" t="s">
        <v>62</v>
      </c>
      <c r="H416">
        <v>36894</v>
      </c>
      <c r="I416" t="str">
        <f t="shared" si="24"/>
        <v>SalesEmp_414</v>
      </c>
      <c r="J416" t="str">
        <f t="shared" si="25"/>
        <v>FemaleSalesBangalore36894</v>
      </c>
      <c r="K416" t="str">
        <f t="shared" si="26"/>
        <v>42MobileBangalore</v>
      </c>
      <c r="L416" t="str">
        <f t="shared" si="27"/>
        <v>36894Mobile</v>
      </c>
    </row>
    <row r="417" spans="1:12" x14ac:dyDescent="0.3">
      <c r="A417" t="s">
        <v>855</v>
      </c>
      <c r="B417" t="s">
        <v>856</v>
      </c>
      <c r="C417" t="s">
        <v>44</v>
      </c>
      <c r="D417" t="s">
        <v>11</v>
      </c>
      <c r="E417" t="s">
        <v>26</v>
      </c>
      <c r="F417">
        <v>58</v>
      </c>
      <c r="G417" t="s">
        <v>13</v>
      </c>
      <c r="H417">
        <v>46648</v>
      </c>
      <c r="I417" t="str">
        <f t="shared" si="24"/>
        <v>ITEmp_415</v>
      </c>
      <c r="J417" t="str">
        <f t="shared" si="25"/>
        <v>MaleITDelhi46648</v>
      </c>
      <c r="K417" t="str">
        <f t="shared" si="26"/>
        <v>58MonitorDelhi</v>
      </c>
      <c r="L417" t="str">
        <f t="shared" si="27"/>
        <v>46648Monitor</v>
      </c>
    </row>
    <row r="418" spans="1:12" x14ac:dyDescent="0.3">
      <c r="A418" t="s">
        <v>857</v>
      </c>
      <c r="B418" t="s">
        <v>858</v>
      </c>
      <c r="C418" t="s">
        <v>24</v>
      </c>
      <c r="D418" t="s">
        <v>25</v>
      </c>
      <c r="E418" t="s">
        <v>26</v>
      </c>
      <c r="F418">
        <v>42</v>
      </c>
      <c r="G418" t="s">
        <v>62</v>
      </c>
      <c r="H418">
        <v>40217</v>
      </c>
      <c r="I418" t="str">
        <f t="shared" si="24"/>
        <v>FinanceEmp_416</v>
      </c>
      <c r="J418" t="str">
        <f t="shared" si="25"/>
        <v>MaleFinancePune40217</v>
      </c>
      <c r="K418" t="str">
        <f t="shared" si="26"/>
        <v>42MobilePune</v>
      </c>
      <c r="L418" t="str">
        <f t="shared" si="27"/>
        <v>40217Mobile</v>
      </c>
    </row>
    <row r="419" spans="1:12" x14ac:dyDescent="0.3">
      <c r="A419" t="s">
        <v>859</v>
      </c>
      <c r="B419" t="s">
        <v>860</v>
      </c>
      <c r="C419" t="s">
        <v>24</v>
      </c>
      <c r="D419" t="s">
        <v>55</v>
      </c>
      <c r="E419" t="s">
        <v>26</v>
      </c>
      <c r="F419">
        <v>34</v>
      </c>
      <c r="G419" t="s">
        <v>17</v>
      </c>
      <c r="H419">
        <v>47287</v>
      </c>
      <c r="I419" t="str">
        <f t="shared" si="24"/>
        <v>FinanceEmp_417</v>
      </c>
      <c r="J419" t="str">
        <f t="shared" si="25"/>
        <v>MaleFinanceHyderabad47287</v>
      </c>
      <c r="K419" t="str">
        <f t="shared" si="26"/>
        <v>34PrinterHyderabad</v>
      </c>
      <c r="L419" t="str">
        <f t="shared" si="27"/>
        <v>47287Printer</v>
      </c>
    </row>
    <row r="420" spans="1:12" x14ac:dyDescent="0.3">
      <c r="A420" t="s">
        <v>861</v>
      </c>
      <c r="B420" t="s">
        <v>862</v>
      </c>
      <c r="C420" t="s">
        <v>44</v>
      </c>
      <c r="D420" t="s">
        <v>55</v>
      </c>
      <c r="E420" t="s">
        <v>26</v>
      </c>
      <c r="F420">
        <v>32</v>
      </c>
      <c r="G420" t="s">
        <v>62</v>
      </c>
      <c r="H420">
        <v>16353</v>
      </c>
      <c r="I420" t="str">
        <f t="shared" si="24"/>
        <v>ITEmp_418</v>
      </c>
      <c r="J420" t="str">
        <f t="shared" si="25"/>
        <v>MaleITHyderabad16353</v>
      </c>
      <c r="K420" t="str">
        <f t="shared" si="26"/>
        <v>32MobileHyderabad</v>
      </c>
      <c r="L420" t="str">
        <f t="shared" si="27"/>
        <v>16353Mobile</v>
      </c>
    </row>
    <row r="421" spans="1:12" x14ac:dyDescent="0.3">
      <c r="A421" t="s">
        <v>863</v>
      </c>
      <c r="B421" t="s">
        <v>864</v>
      </c>
      <c r="C421" t="s">
        <v>20</v>
      </c>
      <c r="D421" t="s">
        <v>16</v>
      </c>
      <c r="E421" t="s">
        <v>12</v>
      </c>
      <c r="F421">
        <v>53</v>
      </c>
      <c r="G421" t="s">
        <v>13</v>
      </c>
      <c r="H421">
        <v>41366</v>
      </c>
      <c r="I421" t="str">
        <f t="shared" si="24"/>
        <v>HREmp_419</v>
      </c>
      <c r="J421" t="str">
        <f t="shared" si="25"/>
        <v>FemaleHRMumbai41366</v>
      </c>
      <c r="K421" t="str">
        <f t="shared" si="26"/>
        <v>53MonitorMumbai</v>
      </c>
      <c r="L421" t="str">
        <f t="shared" si="27"/>
        <v>41366Monitor</v>
      </c>
    </row>
    <row r="422" spans="1:12" x14ac:dyDescent="0.3">
      <c r="A422" t="s">
        <v>865</v>
      </c>
      <c r="B422" t="s">
        <v>866</v>
      </c>
      <c r="C422" t="s">
        <v>20</v>
      </c>
      <c r="D422" t="s">
        <v>55</v>
      </c>
      <c r="E422" t="s">
        <v>26</v>
      </c>
      <c r="F422">
        <v>54</v>
      </c>
      <c r="G422" t="s">
        <v>27</v>
      </c>
      <c r="H422">
        <v>15935</v>
      </c>
      <c r="I422" t="str">
        <f t="shared" si="24"/>
        <v>HREmp_420</v>
      </c>
      <c r="J422" t="str">
        <f t="shared" si="25"/>
        <v>MaleHRHyderabad15935</v>
      </c>
      <c r="K422" t="str">
        <f t="shared" si="26"/>
        <v>54TabletHyderabad</v>
      </c>
      <c r="L422" t="str">
        <f t="shared" si="27"/>
        <v>15935Tablet</v>
      </c>
    </row>
    <row r="423" spans="1:12" x14ac:dyDescent="0.3">
      <c r="A423" t="s">
        <v>867</v>
      </c>
      <c r="B423" t="s">
        <v>868</v>
      </c>
      <c r="C423" t="s">
        <v>24</v>
      </c>
      <c r="D423" t="s">
        <v>21</v>
      </c>
      <c r="E423" t="s">
        <v>26</v>
      </c>
      <c r="F423">
        <v>51</v>
      </c>
      <c r="G423" t="s">
        <v>27</v>
      </c>
      <c r="H423">
        <v>37089</v>
      </c>
      <c r="I423" t="str">
        <f t="shared" si="24"/>
        <v>FinanceEmp_421</v>
      </c>
      <c r="J423" t="str">
        <f t="shared" si="25"/>
        <v>MaleFinanceBangalore37089</v>
      </c>
      <c r="K423" t="str">
        <f t="shared" si="26"/>
        <v>51TabletBangalore</v>
      </c>
      <c r="L423" t="str">
        <f t="shared" si="27"/>
        <v>37089Tablet</v>
      </c>
    </row>
    <row r="424" spans="1:12" x14ac:dyDescent="0.3">
      <c r="A424" t="s">
        <v>869</v>
      </c>
      <c r="B424" t="s">
        <v>870</v>
      </c>
      <c r="C424" t="s">
        <v>24</v>
      </c>
      <c r="D424" t="s">
        <v>55</v>
      </c>
      <c r="E424" t="s">
        <v>26</v>
      </c>
      <c r="F424">
        <v>53</v>
      </c>
      <c r="G424" t="s">
        <v>17</v>
      </c>
      <c r="H424">
        <v>23929</v>
      </c>
      <c r="I424" t="str">
        <f t="shared" si="24"/>
        <v>FinanceEmp_422</v>
      </c>
      <c r="J424" t="str">
        <f t="shared" si="25"/>
        <v>MaleFinanceHyderabad23929</v>
      </c>
      <c r="K424" t="str">
        <f t="shared" si="26"/>
        <v>53PrinterHyderabad</v>
      </c>
      <c r="L424" t="str">
        <f t="shared" si="27"/>
        <v>23929Printer</v>
      </c>
    </row>
    <row r="425" spans="1:12" x14ac:dyDescent="0.3">
      <c r="A425" t="s">
        <v>871</v>
      </c>
      <c r="B425" t="s">
        <v>872</v>
      </c>
      <c r="C425" t="s">
        <v>10</v>
      </c>
      <c r="D425" t="s">
        <v>21</v>
      </c>
      <c r="E425" t="s">
        <v>26</v>
      </c>
      <c r="F425">
        <v>41</v>
      </c>
      <c r="G425" t="s">
        <v>17</v>
      </c>
      <c r="H425">
        <v>14194</v>
      </c>
      <c r="I425" t="str">
        <f t="shared" si="24"/>
        <v>SalesEmp_423</v>
      </c>
      <c r="J425" t="str">
        <f t="shared" si="25"/>
        <v>MaleSalesBangalore14194</v>
      </c>
      <c r="K425" t="str">
        <f t="shared" si="26"/>
        <v>41PrinterBangalore</v>
      </c>
      <c r="L425" t="str">
        <f t="shared" si="27"/>
        <v>14194Printer</v>
      </c>
    </row>
    <row r="426" spans="1:12" x14ac:dyDescent="0.3">
      <c r="A426" t="s">
        <v>873</v>
      </c>
      <c r="B426" t="s">
        <v>874</v>
      </c>
      <c r="C426" t="s">
        <v>24</v>
      </c>
      <c r="D426" t="s">
        <v>21</v>
      </c>
      <c r="E426" t="s">
        <v>26</v>
      </c>
      <c r="F426">
        <v>53</v>
      </c>
      <c r="G426" t="s">
        <v>13</v>
      </c>
      <c r="H426">
        <v>17261</v>
      </c>
      <c r="I426" t="str">
        <f t="shared" si="24"/>
        <v>FinanceEmp_424</v>
      </c>
      <c r="J426" t="str">
        <f t="shared" si="25"/>
        <v>MaleFinanceBangalore17261</v>
      </c>
      <c r="K426" t="str">
        <f t="shared" si="26"/>
        <v>53MonitorBangalore</v>
      </c>
      <c r="L426" t="str">
        <f t="shared" si="27"/>
        <v>17261Monitor</v>
      </c>
    </row>
    <row r="427" spans="1:12" x14ac:dyDescent="0.3">
      <c r="A427" t="s">
        <v>875</v>
      </c>
      <c r="B427" t="s">
        <v>876</v>
      </c>
      <c r="C427" t="s">
        <v>44</v>
      </c>
      <c r="D427" t="s">
        <v>16</v>
      </c>
      <c r="E427" t="s">
        <v>12</v>
      </c>
      <c r="F427">
        <v>23</v>
      </c>
      <c r="G427" t="s">
        <v>27</v>
      </c>
      <c r="H427">
        <v>25616</v>
      </c>
      <c r="I427" t="str">
        <f t="shared" si="24"/>
        <v>ITEmp_425</v>
      </c>
      <c r="J427" t="str">
        <f t="shared" si="25"/>
        <v>FemaleITMumbai25616</v>
      </c>
      <c r="K427" t="str">
        <f t="shared" si="26"/>
        <v>23TabletMumbai</v>
      </c>
      <c r="L427" t="str">
        <f t="shared" si="27"/>
        <v>25616Tablet</v>
      </c>
    </row>
    <row r="428" spans="1:12" x14ac:dyDescent="0.3">
      <c r="A428" t="s">
        <v>877</v>
      </c>
      <c r="B428" t="s">
        <v>878</v>
      </c>
      <c r="C428" t="s">
        <v>20</v>
      </c>
      <c r="D428" t="s">
        <v>11</v>
      </c>
      <c r="E428" t="s">
        <v>12</v>
      </c>
      <c r="F428">
        <v>27</v>
      </c>
      <c r="G428" t="s">
        <v>27</v>
      </c>
      <c r="H428">
        <v>34556</v>
      </c>
      <c r="I428" t="str">
        <f t="shared" si="24"/>
        <v>HREmp_426</v>
      </c>
      <c r="J428" t="str">
        <f t="shared" si="25"/>
        <v>FemaleHRDelhi34556</v>
      </c>
      <c r="K428" t="str">
        <f t="shared" si="26"/>
        <v>27TabletDelhi</v>
      </c>
      <c r="L428" t="str">
        <f t="shared" si="27"/>
        <v>34556Tablet</v>
      </c>
    </row>
    <row r="429" spans="1:12" x14ac:dyDescent="0.3">
      <c r="A429" t="s">
        <v>879</v>
      </c>
      <c r="B429" t="s">
        <v>880</v>
      </c>
      <c r="C429" t="s">
        <v>20</v>
      </c>
      <c r="D429" t="s">
        <v>21</v>
      </c>
      <c r="E429" t="s">
        <v>12</v>
      </c>
      <c r="F429">
        <v>47</v>
      </c>
      <c r="G429" t="s">
        <v>27</v>
      </c>
      <c r="H429">
        <v>45593</v>
      </c>
      <c r="I429" t="str">
        <f t="shared" si="24"/>
        <v>HREmp_427</v>
      </c>
      <c r="J429" t="str">
        <f t="shared" si="25"/>
        <v>FemaleHRBangalore45593</v>
      </c>
      <c r="K429" t="str">
        <f t="shared" si="26"/>
        <v>47TabletBangalore</v>
      </c>
      <c r="L429" t="str">
        <f t="shared" si="27"/>
        <v>45593Tablet</v>
      </c>
    </row>
    <row r="430" spans="1:12" x14ac:dyDescent="0.3">
      <c r="A430" t="s">
        <v>881</v>
      </c>
      <c r="B430" t="s">
        <v>882</v>
      </c>
      <c r="C430" t="s">
        <v>10</v>
      </c>
      <c r="D430" t="s">
        <v>55</v>
      </c>
      <c r="E430" t="s">
        <v>12</v>
      </c>
      <c r="F430">
        <v>54</v>
      </c>
      <c r="G430" t="s">
        <v>27</v>
      </c>
      <c r="H430">
        <v>8513</v>
      </c>
      <c r="I430" t="str">
        <f t="shared" si="24"/>
        <v>SalesEmp_428</v>
      </c>
      <c r="J430" t="str">
        <f t="shared" si="25"/>
        <v>FemaleSalesHyderabad8513</v>
      </c>
      <c r="K430" t="str">
        <f t="shared" si="26"/>
        <v>54TabletHyderabad</v>
      </c>
      <c r="L430" t="str">
        <f t="shared" si="27"/>
        <v>8513Tablet</v>
      </c>
    </row>
    <row r="431" spans="1:12" x14ac:dyDescent="0.3">
      <c r="A431" t="s">
        <v>883</v>
      </c>
      <c r="B431" t="s">
        <v>884</v>
      </c>
      <c r="C431" t="s">
        <v>20</v>
      </c>
      <c r="D431" t="s">
        <v>55</v>
      </c>
      <c r="E431" t="s">
        <v>12</v>
      </c>
      <c r="F431">
        <v>51</v>
      </c>
      <c r="G431" t="s">
        <v>13</v>
      </c>
      <c r="H431">
        <v>28529</v>
      </c>
      <c r="I431" t="str">
        <f t="shared" si="24"/>
        <v>HREmp_429</v>
      </c>
      <c r="J431" t="str">
        <f t="shared" si="25"/>
        <v>FemaleHRHyderabad28529</v>
      </c>
      <c r="K431" t="str">
        <f t="shared" si="26"/>
        <v>51MonitorHyderabad</v>
      </c>
      <c r="L431" t="str">
        <f t="shared" si="27"/>
        <v>28529Monitor</v>
      </c>
    </row>
    <row r="432" spans="1:12" x14ac:dyDescent="0.3">
      <c r="A432" t="s">
        <v>885</v>
      </c>
      <c r="B432" t="s">
        <v>886</v>
      </c>
      <c r="C432" t="s">
        <v>20</v>
      </c>
      <c r="D432" t="s">
        <v>21</v>
      </c>
      <c r="E432" t="s">
        <v>26</v>
      </c>
      <c r="F432">
        <v>37</v>
      </c>
      <c r="G432" t="s">
        <v>17</v>
      </c>
      <c r="H432">
        <v>5628</v>
      </c>
      <c r="I432" t="str">
        <f t="shared" si="24"/>
        <v>HREmp_430</v>
      </c>
      <c r="J432" t="str">
        <f t="shared" si="25"/>
        <v>MaleHRBangalore5628</v>
      </c>
      <c r="K432" t="str">
        <f t="shared" si="26"/>
        <v>37PrinterBangalore</v>
      </c>
      <c r="L432" t="str">
        <f t="shared" si="27"/>
        <v>5628Printer</v>
      </c>
    </row>
    <row r="433" spans="1:12" x14ac:dyDescent="0.3">
      <c r="A433" t="s">
        <v>887</v>
      </c>
      <c r="B433" t="s">
        <v>888</v>
      </c>
      <c r="C433" t="s">
        <v>37</v>
      </c>
      <c r="D433" t="s">
        <v>55</v>
      </c>
      <c r="E433" t="s">
        <v>12</v>
      </c>
      <c r="F433">
        <v>35</v>
      </c>
      <c r="G433" t="s">
        <v>17</v>
      </c>
      <c r="H433">
        <v>36759</v>
      </c>
      <c r="I433" t="str">
        <f t="shared" si="24"/>
        <v>MarketingEmp_431</v>
      </c>
      <c r="J433" t="str">
        <f t="shared" si="25"/>
        <v>FemaleMarketingHyderabad36759</v>
      </c>
      <c r="K433" t="str">
        <f t="shared" si="26"/>
        <v>35PrinterHyderabad</v>
      </c>
      <c r="L433" t="str">
        <f t="shared" si="27"/>
        <v>36759Printer</v>
      </c>
    </row>
    <row r="434" spans="1:12" x14ac:dyDescent="0.3">
      <c r="A434" t="s">
        <v>889</v>
      </c>
      <c r="B434" t="s">
        <v>890</v>
      </c>
      <c r="C434" t="s">
        <v>44</v>
      </c>
      <c r="D434" t="s">
        <v>25</v>
      </c>
      <c r="E434" t="s">
        <v>26</v>
      </c>
      <c r="F434">
        <v>59</v>
      </c>
      <c r="G434" t="s">
        <v>32</v>
      </c>
      <c r="H434">
        <v>13947</v>
      </c>
      <c r="I434" t="str">
        <f t="shared" si="24"/>
        <v>ITEmp_432</v>
      </c>
      <c r="J434" t="str">
        <f t="shared" si="25"/>
        <v>MaleITPune13947</v>
      </c>
      <c r="K434" t="str">
        <f t="shared" si="26"/>
        <v>59LaptopPune</v>
      </c>
      <c r="L434" t="str">
        <f t="shared" si="27"/>
        <v>13947Laptop</v>
      </c>
    </row>
    <row r="435" spans="1:12" x14ac:dyDescent="0.3">
      <c r="A435" t="s">
        <v>891</v>
      </c>
      <c r="B435" t="s">
        <v>892</v>
      </c>
      <c r="C435" t="s">
        <v>37</v>
      </c>
      <c r="D435" t="s">
        <v>16</v>
      </c>
      <c r="E435" t="s">
        <v>12</v>
      </c>
      <c r="F435">
        <v>44</v>
      </c>
      <c r="G435" t="s">
        <v>17</v>
      </c>
      <c r="H435">
        <v>17787</v>
      </c>
      <c r="I435" t="str">
        <f t="shared" si="24"/>
        <v>MarketingEmp_433</v>
      </c>
      <c r="J435" t="str">
        <f t="shared" si="25"/>
        <v>FemaleMarketingMumbai17787</v>
      </c>
      <c r="K435" t="str">
        <f t="shared" si="26"/>
        <v>44PrinterMumbai</v>
      </c>
      <c r="L435" t="str">
        <f t="shared" si="27"/>
        <v>17787Printer</v>
      </c>
    </row>
    <row r="436" spans="1:12" x14ac:dyDescent="0.3">
      <c r="A436" t="s">
        <v>893</v>
      </c>
      <c r="B436" t="s">
        <v>894</v>
      </c>
      <c r="C436" t="s">
        <v>20</v>
      </c>
      <c r="D436" t="s">
        <v>55</v>
      </c>
      <c r="E436" t="s">
        <v>12</v>
      </c>
      <c r="F436">
        <v>25</v>
      </c>
      <c r="G436" t="s">
        <v>27</v>
      </c>
      <c r="H436">
        <v>30162</v>
      </c>
      <c r="I436" t="str">
        <f t="shared" si="24"/>
        <v>HREmp_434</v>
      </c>
      <c r="J436" t="str">
        <f t="shared" si="25"/>
        <v>FemaleHRHyderabad30162</v>
      </c>
      <c r="K436" t="str">
        <f t="shared" si="26"/>
        <v>25TabletHyderabad</v>
      </c>
      <c r="L436" t="str">
        <f t="shared" si="27"/>
        <v>30162Tablet</v>
      </c>
    </row>
    <row r="437" spans="1:12" x14ac:dyDescent="0.3">
      <c r="A437" t="s">
        <v>895</v>
      </c>
      <c r="B437" t="s">
        <v>896</v>
      </c>
      <c r="C437" t="s">
        <v>10</v>
      </c>
      <c r="D437" t="s">
        <v>16</v>
      </c>
      <c r="E437" t="s">
        <v>12</v>
      </c>
      <c r="F437">
        <v>25</v>
      </c>
      <c r="G437" t="s">
        <v>62</v>
      </c>
      <c r="H437">
        <v>41803</v>
      </c>
      <c r="I437" t="str">
        <f t="shared" si="24"/>
        <v>SalesEmp_435</v>
      </c>
      <c r="J437" t="str">
        <f t="shared" si="25"/>
        <v>FemaleSalesMumbai41803</v>
      </c>
      <c r="K437" t="str">
        <f t="shared" si="26"/>
        <v>25MobileMumbai</v>
      </c>
      <c r="L437" t="str">
        <f t="shared" si="27"/>
        <v>41803Mobile</v>
      </c>
    </row>
    <row r="438" spans="1:12" x14ac:dyDescent="0.3">
      <c r="A438" t="s">
        <v>897</v>
      </c>
      <c r="B438" t="s">
        <v>898</v>
      </c>
      <c r="C438" t="s">
        <v>10</v>
      </c>
      <c r="D438" t="s">
        <v>21</v>
      </c>
      <c r="E438" t="s">
        <v>12</v>
      </c>
      <c r="F438">
        <v>40</v>
      </c>
      <c r="G438" t="s">
        <v>27</v>
      </c>
      <c r="H438">
        <v>38124</v>
      </c>
      <c r="I438" t="str">
        <f t="shared" si="24"/>
        <v>SalesEmp_436</v>
      </c>
      <c r="J438" t="str">
        <f t="shared" si="25"/>
        <v>FemaleSalesBangalore38124</v>
      </c>
      <c r="K438" t="str">
        <f t="shared" si="26"/>
        <v>40TabletBangalore</v>
      </c>
      <c r="L438" t="str">
        <f t="shared" si="27"/>
        <v>38124Tablet</v>
      </c>
    </row>
    <row r="439" spans="1:12" x14ac:dyDescent="0.3">
      <c r="A439" t="s">
        <v>899</v>
      </c>
      <c r="B439" t="s">
        <v>900</v>
      </c>
      <c r="C439" t="s">
        <v>20</v>
      </c>
      <c r="D439" t="s">
        <v>21</v>
      </c>
      <c r="E439" t="s">
        <v>26</v>
      </c>
      <c r="F439">
        <v>53</v>
      </c>
      <c r="G439" t="s">
        <v>27</v>
      </c>
      <c r="H439">
        <v>47799</v>
      </c>
      <c r="I439" t="str">
        <f t="shared" si="24"/>
        <v>HREmp_437</v>
      </c>
      <c r="J439" t="str">
        <f t="shared" si="25"/>
        <v>MaleHRBangalore47799</v>
      </c>
      <c r="K439" t="str">
        <f t="shared" si="26"/>
        <v>53TabletBangalore</v>
      </c>
      <c r="L439" t="str">
        <f t="shared" si="27"/>
        <v>47799Tablet</v>
      </c>
    </row>
    <row r="440" spans="1:12" x14ac:dyDescent="0.3">
      <c r="A440" t="s">
        <v>901</v>
      </c>
      <c r="B440" t="s">
        <v>902</v>
      </c>
      <c r="C440" t="s">
        <v>24</v>
      </c>
      <c r="D440" t="s">
        <v>21</v>
      </c>
      <c r="E440" t="s">
        <v>12</v>
      </c>
      <c r="F440">
        <v>60</v>
      </c>
      <c r="G440" t="s">
        <v>17</v>
      </c>
      <c r="H440">
        <v>37438</v>
      </c>
      <c r="I440" t="str">
        <f t="shared" si="24"/>
        <v>FinanceEmp_438</v>
      </c>
      <c r="J440" t="str">
        <f t="shared" si="25"/>
        <v>FemaleFinanceBangalore37438</v>
      </c>
      <c r="K440" t="str">
        <f t="shared" si="26"/>
        <v>60PrinterBangalore</v>
      </c>
      <c r="L440" t="str">
        <f t="shared" si="27"/>
        <v>37438Printer</v>
      </c>
    </row>
    <row r="441" spans="1:12" x14ac:dyDescent="0.3">
      <c r="A441" t="s">
        <v>903</v>
      </c>
      <c r="B441" t="s">
        <v>904</v>
      </c>
      <c r="C441" t="s">
        <v>37</v>
      </c>
      <c r="D441" t="s">
        <v>16</v>
      </c>
      <c r="E441" t="s">
        <v>26</v>
      </c>
      <c r="F441">
        <v>52</v>
      </c>
      <c r="G441" t="s">
        <v>32</v>
      </c>
      <c r="H441">
        <v>31813</v>
      </c>
      <c r="I441" t="str">
        <f t="shared" si="24"/>
        <v>MarketingEmp_439</v>
      </c>
      <c r="J441" t="str">
        <f t="shared" si="25"/>
        <v>MaleMarketingMumbai31813</v>
      </c>
      <c r="K441" t="str">
        <f t="shared" si="26"/>
        <v>52LaptopMumbai</v>
      </c>
      <c r="L441" t="str">
        <f t="shared" si="27"/>
        <v>31813Laptop</v>
      </c>
    </row>
    <row r="442" spans="1:12" x14ac:dyDescent="0.3">
      <c r="A442" t="s">
        <v>905</v>
      </c>
      <c r="B442" t="s">
        <v>906</v>
      </c>
      <c r="C442" t="s">
        <v>20</v>
      </c>
      <c r="D442" t="s">
        <v>55</v>
      </c>
      <c r="E442" t="s">
        <v>12</v>
      </c>
      <c r="F442">
        <v>40</v>
      </c>
      <c r="G442" t="s">
        <v>13</v>
      </c>
      <c r="H442">
        <v>49872</v>
      </c>
      <c r="I442" t="str">
        <f t="shared" si="24"/>
        <v>HREmp_440</v>
      </c>
      <c r="J442" t="str">
        <f t="shared" si="25"/>
        <v>FemaleHRHyderabad49872</v>
      </c>
      <c r="K442" t="str">
        <f t="shared" si="26"/>
        <v>40MonitorHyderabad</v>
      </c>
      <c r="L442" t="str">
        <f t="shared" si="27"/>
        <v>49872Monitor</v>
      </c>
    </row>
    <row r="443" spans="1:12" x14ac:dyDescent="0.3">
      <c r="A443" t="s">
        <v>907</v>
      </c>
      <c r="B443" t="s">
        <v>908</v>
      </c>
      <c r="C443" t="s">
        <v>10</v>
      </c>
      <c r="D443" t="s">
        <v>25</v>
      </c>
      <c r="E443" t="s">
        <v>12</v>
      </c>
      <c r="F443">
        <v>56</v>
      </c>
      <c r="G443" t="s">
        <v>62</v>
      </c>
      <c r="H443">
        <v>37225</v>
      </c>
      <c r="I443" t="str">
        <f t="shared" si="24"/>
        <v>SalesEmp_441</v>
      </c>
      <c r="J443" t="str">
        <f t="shared" si="25"/>
        <v>FemaleSalesPune37225</v>
      </c>
      <c r="K443" t="str">
        <f t="shared" si="26"/>
        <v>56MobilePune</v>
      </c>
      <c r="L443" t="str">
        <f t="shared" si="27"/>
        <v>37225Mobile</v>
      </c>
    </row>
    <row r="444" spans="1:12" x14ac:dyDescent="0.3">
      <c r="A444" t="s">
        <v>909</v>
      </c>
      <c r="B444" t="s">
        <v>910</v>
      </c>
      <c r="C444" t="s">
        <v>10</v>
      </c>
      <c r="D444" t="s">
        <v>16</v>
      </c>
      <c r="E444" t="s">
        <v>12</v>
      </c>
      <c r="F444">
        <v>22</v>
      </c>
      <c r="G444" t="s">
        <v>62</v>
      </c>
      <c r="H444">
        <v>32238</v>
      </c>
      <c r="I444" t="str">
        <f t="shared" si="24"/>
        <v>SalesEmp_442</v>
      </c>
      <c r="J444" t="str">
        <f t="shared" si="25"/>
        <v>FemaleSalesMumbai32238</v>
      </c>
      <c r="K444" t="str">
        <f t="shared" si="26"/>
        <v>22MobileMumbai</v>
      </c>
      <c r="L444" t="str">
        <f t="shared" si="27"/>
        <v>32238Mobile</v>
      </c>
    </row>
    <row r="445" spans="1:12" x14ac:dyDescent="0.3">
      <c r="A445" t="s">
        <v>911</v>
      </c>
      <c r="B445" t="s">
        <v>912</v>
      </c>
      <c r="C445" t="s">
        <v>37</v>
      </c>
      <c r="D445" t="s">
        <v>25</v>
      </c>
      <c r="E445" t="s">
        <v>26</v>
      </c>
      <c r="F445">
        <v>28</v>
      </c>
      <c r="G445" t="s">
        <v>32</v>
      </c>
      <c r="H445">
        <v>34088</v>
      </c>
      <c r="I445" t="str">
        <f t="shared" si="24"/>
        <v>MarketingEmp_443</v>
      </c>
      <c r="J445" t="str">
        <f t="shared" si="25"/>
        <v>MaleMarketingPune34088</v>
      </c>
      <c r="K445" t="str">
        <f t="shared" si="26"/>
        <v>28LaptopPune</v>
      </c>
      <c r="L445" t="str">
        <f t="shared" si="27"/>
        <v>34088Laptop</v>
      </c>
    </row>
    <row r="446" spans="1:12" x14ac:dyDescent="0.3">
      <c r="A446" t="s">
        <v>913</v>
      </c>
      <c r="B446" t="s">
        <v>914</v>
      </c>
      <c r="C446" t="s">
        <v>44</v>
      </c>
      <c r="D446" t="s">
        <v>55</v>
      </c>
      <c r="E446" t="s">
        <v>26</v>
      </c>
      <c r="F446">
        <v>49</v>
      </c>
      <c r="G446" t="s">
        <v>27</v>
      </c>
      <c r="H446">
        <v>37027</v>
      </c>
      <c r="I446" t="str">
        <f t="shared" si="24"/>
        <v>ITEmp_444</v>
      </c>
      <c r="J446" t="str">
        <f t="shared" si="25"/>
        <v>MaleITHyderabad37027</v>
      </c>
      <c r="K446" t="str">
        <f t="shared" si="26"/>
        <v>49TabletHyderabad</v>
      </c>
      <c r="L446" t="str">
        <f t="shared" si="27"/>
        <v>37027Tablet</v>
      </c>
    </row>
    <row r="447" spans="1:12" x14ac:dyDescent="0.3">
      <c r="A447" t="s">
        <v>915</v>
      </c>
      <c r="B447" t="s">
        <v>916</v>
      </c>
      <c r="C447" t="s">
        <v>20</v>
      </c>
      <c r="D447" t="s">
        <v>55</v>
      </c>
      <c r="E447" t="s">
        <v>12</v>
      </c>
      <c r="F447">
        <v>30</v>
      </c>
      <c r="G447" t="s">
        <v>13</v>
      </c>
      <c r="H447">
        <v>15961</v>
      </c>
      <c r="I447" t="str">
        <f t="shared" si="24"/>
        <v>HREmp_445</v>
      </c>
      <c r="J447" t="str">
        <f t="shared" si="25"/>
        <v>FemaleHRHyderabad15961</v>
      </c>
      <c r="K447" t="str">
        <f t="shared" si="26"/>
        <v>30MonitorHyderabad</v>
      </c>
      <c r="L447" t="str">
        <f t="shared" si="27"/>
        <v>15961Monitor</v>
      </c>
    </row>
    <row r="448" spans="1:12" x14ac:dyDescent="0.3">
      <c r="A448" t="s">
        <v>917</v>
      </c>
      <c r="B448" t="s">
        <v>918</v>
      </c>
      <c r="C448" t="s">
        <v>20</v>
      </c>
      <c r="D448" t="s">
        <v>16</v>
      </c>
      <c r="E448" t="s">
        <v>12</v>
      </c>
      <c r="F448">
        <v>38</v>
      </c>
      <c r="G448" t="s">
        <v>13</v>
      </c>
      <c r="H448">
        <v>10417</v>
      </c>
      <c r="I448" t="str">
        <f t="shared" si="24"/>
        <v>HREmp_446</v>
      </c>
      <c r="J448" t="str">
        <f t="shared" si="25"/>
        <v>FemaleHRMumbai10417</v>
      </c>
      <c r="K448" t="str">
        <f t="shared" si="26"/>
        <v>38MonitorMumbai</v>
      </c>
      <c r="L448" t="str">
        <f t="shared" si="27"/>
        <v>10417Monitor</v>
      </c>
    </row>
    <row r="449" spans="1:12" x14ac:dyDescent="0.3">
      <c r="A449" t="s">
        <v>919</v>
      </c>
      <c r="B449" t="s">
        <v>920</v>
      </c>
      <c r="C449" t="s">
        <v>44</v>
      </c>
      <c r="D449" t="s">
        <v>11</v>
      </c>
      <c r="E449" t="s">
        <v>26</v>
      </c>
      <c r="F449">
        <v>45</v>
      </c>
      <c r="G449" t="s">
        <v>13</v>
      </c>
      <c r="H449">
        <v>42053</v>
      </c>
      <c r="I449" t="str">
        <f t="shared" si="24"/>
        <v>ITEmp_447</v>
      </c>
      <c r="J449" t="str">
        <f t="shared" si="25"/>
        <v>MaleITDelhi42053</v>
      </c>
      <c r="K449" t="str">
        <f t="shared" si="26"/>
        <v>45MonitorDelhi</v>
      </c>
      <c r="L449" t="str">
        <f t="shared" si="27"/>
        <v>42053Monitor</v>
      </c>
    </row>
    <row r="450" spans="1:12" x14ac:dyDescent="0.3">
      <c r="A450" t="s">
        <v>921</v>
      </c>
      <c r="B450" t="s">
        <v>922</v>
      </c>
      <c r="C450" t="s">
        <v>37</v>
      </c>
      <c r="D450" t="s">
        <v>25</v>
      </c>
      <c r="E450" t="s">
        <v>26</v>
      </c>
      <c r="F450">
        <v>47</v>
      </c>
      <c r="G450" t="s">
        <v>17</v>
      </c>
      <c r="H450">
        <v>7022</v>
      </c>
      <c r="I450" t="str">
        <f t="shared" si="24"/>
        <v>MarketingEmp_448</v>
      </c>
      <c r="J450" t="str">
        <f t="shared" si="25"/>
        <v>MaleMarketingPune7022</v>
      </c>
      <c r="K450" t="str">
        <f t="shared" si="26"/>
        <v>47PrinterPune</v>
      </c>
      <c r="L450" t="str">
        <f t="shared" si="27"/>
        <v>7022Printer</v>
      </c>
    </row>
    <row r="451" spans="1:12" x14ac:dyDescent="0.3">
      <c r="A451" t="s">
        <v>923</v>
      </c>
      <c r="B451" t="s">
        <v>924</v>
      </c>
      <c r="C451" t="s">
        <v>37</v>
      </c>
      <c r="D451" t="s">
        <v>21</v>
      </c>
      <c r="E451" t="s">
        <v>12</v>
      </c>
      <c r="F451">
        <v>45</v>
      </c>
      <c r="G451" t="s">
        <v>27</v>
      </c>
      <c r="H451">
        <v>19452</v>
      </c>
      <c r="I451" t="str">
        <f t="shared" ref="I451:I501" si="28">_xlfn.CONCAT(C451,B451)</f>
        <v>MarketingEmp_449</v>
      </c>
      <c r="J451" t="str">
        <f t="shared" ref="J451:J501" si="29">_xlfn.CONCAT(E451,C451,D451,H451)</f>
        <v>FemaleMarketingBangalore19452</v>
      </c>
      <c r="K451" t="str">
        <f t="shared" ref="K451:K501" si="30">_xlfn.CONCAT(F451,G451,D451)</f>
        <v>45TabletBangalore</v>
      </c>
      <c r="L451" t="str">
        <f t="shared" ref="L451:L501" si="31">_xlfn.CONCAT(H451,G451)</f>
        <v>19452Tablet</v>
      </c>
    </row>
    <row r="452" spans="1:12" x14ac:dyDescent="0.3">
      <c r="A452" t="s">
        <v>925</v>
      </c>
      <c r="B452" t="s">
        <v>926</v>
      </c>
      <c r="C452" t="s">
        <v>10</v>
      </c>
      <c r="D452" t="s">
        <v>25</v>
      </c>
      <c r="E452" t="s">
        <v>12</v>
      </c>
      <c r="F452">
        <v>24</v>
      </c>
      <c r="G452" t="s">
        <v>62</v>
      </c>
      <c r="H452">
        <v>24142</v>
      </c>
      <c r="I452" t="str">
        <f t="shared" si="28"/>
        <v>SalesEmp_450</v>
      </c>
      <c r="J452" t="str">
        <f t="shared" si="29"/>
        <v>FemaleSalesPune24142</v>
      </c>
      <c r="K452" t="str">
        <f t="shared" si="30"/>
        <v>24MobilePune</v>
      </c>
      <c r="L452" t="str">
        <f t="shared" si="31"/>
        <v>24142Mobile</v>
      </c>
    </row>
    <row r="453" spans="1:12" x14ac:dyDescent="0.3">
      <c r="A453" t="s">
        <v>927</v>
      </c>
      <c r="B453" t="s">
        <v>928</v>
      </c>
      <c r="C453" t="s">
        <v>44</v>
      </c>
      <c r="D453" t="s">
        <v>55</v>
      </c>
      <c r="E453" t="s">
        <v>26</v>
      </c>
      <c r="F453">
        <v>47</v>
      </c>
      <c r="G453" t="s">
        <v>62</v>
      </c>
      <c r="H453">
        <v>7142</v>
      </c>
      <c r="I453" t="str">
        <f t="shared" si="28"/>
        <v>ITEmp_451</v>
      </c>
      <c r="J453" t="str">
        <f t="shared" si="29"/>
        <v>MaleITHyderabad7142</v>
      </c>
      <c r="K453" t="str">
        <f t="shared" si="30"/>
        <v>47MobileHyderabad</v>
      </c>
      <c r="L453" t="str">
        <f t="shared" si="31"/>
        <v>7142Mobile</v>
      </c>
    </row>
    <row r="454" spans="1:12" x14ac:dyDescent="0.3">
      <c r="A454" t="s">
        <v>929</v>
      </c>
      <c r="B454" t="s">
        <v>930</v>
      </c>
      <c r="C454" t="s">
        <v>37</v>
      </c>
      <c r="D454" t="s">
        <v>55</v>
      </c>
      <c r="E454" t="s">
        <v>12</v>
      </c>
      <c r="F454">
        <v>25</v>
      </c>
      <c r="G454" t="s">
        <v>27</v>
      </c>
      <c r="H454">
        <v>23012</v>
      </c>
      <c r="I454" t="str">
        <f t="shared" si="28"/>
        <v>MarketingEmp_452</v>
      </c>
      <c r="J454" t="str">
        <f t="shared" si="29"/>
        <v>FemaleMarketingHyderabad23012</v>
      </c>
      <c r="K454" t="str">
        <f t="shared" si="30"/>
        <v>25TabletHyderabad</v>
      </c>
      <c r="L454" t="str">
        <f t="shared" si="31"/>
        <v>23012Tablet</v>
      </c>
    </row>
    <row r="455" spans="1:12" x14ac:dyDescent="0.3">
      <c r="A455" t="s">
        <v>931</v>
      </c>
      <c r="B455" t="s">
        <v>932</v>
      </c>
      <c r="C455" t="s">
        <v>24</v>
      </c>
      <c r="D455" t="s">
        <v>16</v>
      </c>
      <c r="E455" t="s">
        <v>26</v>
      </c>
      <c r="F455">
        <v>58</v>
      </c>
      <c r="G455" t="s">
        <v>62</v>
      </c>
      <c r="H455">
        <v>19735</v>
      </c>
      <c r="I455" t="str">
        <f t="shared" si="28"/>
        <v>FinanceEmp_453</v>
      </c>
      <c r="J455" t="str">
        <f t="shared" si="29"/>
        <v>MaleFinanceMumbai19735</v>
      </c>
      <c r="K455" t="str">
        <f t="shared" si="30"/>
        <v>58MobileMumbai</v>
      </c>
      <c r="L455" t="str">
        <f t="shared" si="31"/>
        <v>19735Mobile</v>
      </c>
    </row>
    <row r="456" spans="1:12" x14ac:dyDescent="0.3">
      <c r="A456" t="s">
        <v>933</v>
      </c>
      <c r="B456" t="s">
        <v>934</v>
      </c>
      <c r="C456" t="s">
        <v>20</v>
      </c>
      <c r="D456" t="s">
        <v>11</v>
      </c>
      <c r="E456" t="s">
        <v>12</v>
      </c>
      <c r="F456">
        <v>57</v>
      </c>
      <c r="G456" t="s">
        <v>17</v>
      </c>
      <c r="H456">
        <v>40232</v>
      </c>
      <c r="I456" t="str">
        <f t="shared" si="28"/>
        <v>HREmp_454</v>
      </c>
      <c r="J456" t="str">
        <f t="shared" si="29"/>
        <v>FemaleHRDelhi40232</v>
      </c>
      <c r="K456" t="str">
        <f t="shared" si="30"/>
        <v>57PrinterDelhi</v>
      </c>
      <c r="L456" t="str">
        <f t="shared" si="31"/>
        <v>40232Printer</v>
      </c>
    </row>
    <row r="457" spans="1:12" x14ac:dyDescent="0.3">
      <c r="A457" t="s">
        <v>935</v>
      </c>
      <c r="B457" t="s">
        <v>936</v>
      </c>
      <c r="C457" t="s">
        <v>10</v>
      </c>
      <c r="D457" t="s">
        <v>21</v>
      </c>
      <c r="E457" t="s">
        <v>12</v>
      </c>
      <c r="F457">
        <v>34</v>
      </c>
      <c r="G457" t="s">
        <v>13</v>
      </c>
      <c r="H457">
        <v>23918</v>
      </c>
      <c r="I457" t="str">
        <f t="shared" si="28"/>
        <v>SalesEmp_455</v>
      </c>
      <c r="J457" t="str">
        <f t="shared" si="29"/>
        <v>FemaleSalesBangalore23918</v>
      </c>
      <c r="K457" t="str">
        <f t="shared" si="30"/>
        <v>34MonitorBangalore</v>
      </c>
      <c r="L457" t="str">
        <f t="shared" si="31"/>
        <v>23918Monitor</v>
      </c>
    </row>
    <row r="458" spans="1:12" x14ac:dyDescent="0.3">
      <c r="A458" t="s">
        <v>937</v>
      </c>
      <c r="B458" t="s">
        <v>938</v>
      </c>
      <c r="C458" t="s">
        <v>44</v>
      </c>
      <c r="D458" t="s">
        <v>25</v>
      </c>
      <c r="E458" t="s">
        <v>26</v>
      </c>
      <c r="F458">
        <v>45</v>
      </c>
      <c r="G458" t="s">
        <v>62</v>
      </c>
      <c r="H458">
        <v>16023</v>
      </c>
      <c r="I458" t="str">
        <f t="shared" si="28"/>
        <v>ITEmp_456</v>
      </c>
      <c r="J458" t="str">
        <f t="shared" si="29"/>
        <v>MaleITPune16023</v>
      </c>
      <c r="K458" t="str">
        <f t="shared" si="30"/>
        <v>45MobilePune</v>
      </c>
      <c r="L458" t="str">
        <f t="shared" si="31"/>
        <v>16023Mobile</v>
      </c>
    </row>
    <row r="459" spans="1:12" x14ac:dyDescent="0.3">
      <c r="A459" t="s">
        <v>939</v>
      </c>
      <c r="B459" t="s">
        <v>940</v>
      </c>
      <c r="C459" t="s">
        <v>10</v>
      </c>
      <c r="D459" t="s">
        <v>11</v>
      </c>
      <c r="E459" t="s">
        <v>26</v>
      </c>
      <c r="F459">
        <v>57</v>
      </c>
      <c r="G459" t="s">
        <v>17</v>
      </c>
      <c r="H459">
        <v>34971</v>
      </c>
      <c r="I459" t="str">
        <f t="shared" si="28"/>
        <v>SalesEmp_457</v>
      </c>
      <c r="J459" t="str">
        <f t="shared" si="29"/>
        <v>MaleSalesDelhi34971</v>
      </c>
      <c r="K459" t="str">
        <f t="shared" si="30"/>
        <v>57PrinterDelhi</v>
      </c>
      <c r="L459" t="str">
        <f t="shared" si="31"/>
        <v>34971Printer</v>
      </c>
    </row>
    <row r="460" spans="1:12" x14ac:dyDescent="0.3">
      <c r="A460" t="s">
        <v>941</v>
      </c>
      <c r="B460" t="s">
        <v>942</v>
      </c>
      <c r="C460" t="s">
        <v>37</v>
      </c>
      <c r="D460" t="s">
        <v>21</v>
      </c>
      <c r="E460" t="s">
        <v>12</v>
      </c>
      <c r="F460">
        <v>40</v>
      </c>
      <c r="G460" t="s">
        <v>13</v>
      </c>
      <c r="H460">
        <v>42070</v>
      </c>
      <c r="I460" t="str">
        <f t="shared" si="28"/>
        <v>MarketingEmp_458</v>
      </c>
      <c r="J460" t="str">
        <f t="shared" si="29"/>
        <v>FemaleMarketingBangalore42070</v>
      </c>
      <c r="K460" t="str">
        <f t="shared" si="30"/>
        <v>40MonitorBangalore</v>
      </c>
      <c r="L460" t="str">
        <f t="shared" si="31"/>
        <v>42070Monitor</v>
      </c>
    </row>
    <row r="461" spans="1:12" x14ac:dyDescent="0.3">
      <c r="A461" t="s">
        <v>943</v>
      </c>
      <c r="B461" t="s">
        <v>944</v>
      </c>
      <c r="C461" t="s">
        <v>37</v>
      </c>
      <c r="D461" t="s">
        <v>55</v>
      </c>
      <c r="E461" t="s">
        <v>26</v>
      </c>
      <c r="F461">
        <v>26</v>
      </c>
      <c r="G461" t="s">
        <v>27</v>
      </c>
      <c r="H461">
        <v>37460</v>
      </c>
      <c r="I461" t="str">
        <f t="shared" si="28"/>
        <v>MarketingEmp_459</v>
      </c>
      <c r="J461" t="str">
        <f t="shared" si="29"/>
        <v>MaleMarketingHyderabad37460</v>
      </c>
      <c r="K461" t="str">
        <f t="shared" si="30"/>
        <v>26TabletHyderabad</v>
      </c>
      <c r="L461" t="str">
        <f t="shared" si="31"/>
        <v>37460Tablet</v>
      </c>
    </row>
    <row r="462" spans="1:12" x14ac:dyDescent="0.3">
      <c r="A462" t="s">
        <v>945</v>
      </c>
      <c r="B462" t="s">
        <v>946</v>
      </c>
      <c r="C462" t="s">
        <v>24</v>
      </c>
      <c r="D462" t="s">
        <v>55</v>
      </c>
      <c r="E462" t="s">
        <v>12</v>
      </c>
      <c r="F462">
        <v>46</v>
      </c>
      <c r="G462" t="s">
        <v>27</v>
      </c>
      <c r="H462">
        <v>41026</v>
      </c>
      <c r="I462" t="str">
        <f t="shared" si="28"/>
        <v>FinanceEmp_460</v>
      </c>
      <c r="J462" t="str">
        <f t="shared" si="29"/>
        <v>FemaleFinanceHyderabad41026</v>
      </c>
      <c r="K462" t="str">
        <f t="shared" si="30"/>
        <v>46TabletHyderabad</v>
      </c>
      <c r="L462" t="str">
        <f t="shared" si="31"/>
        <v>41026Tablet</v>
      </c>
    </row>
    <row r="463" spans="1:12" x14ac:dyDescent="0.3">
      <c r="A463" t="s">
        <v>947</v>
      </c>
      <c r="B463" t="s">
        <v>948</v>
      </c>
      <c r="C463" t="s">
        <v>20</v>
      </c>
      <c r="D463" t="s">
        <v>16</v>
      </c>
      <c r="E463" t="s">
        <v>26</v>
      </c>
      <c r="F463">
        <v>54</v>
      </c>
      <c r="G463" t="s">
        <v>17</v>
      </c>
      <c r="H463">
        <v>38476</v>
      </c>
      <c r="I463" t="str">
        <f t="shared" si="28"/>
        <v>HREmp_461</v>
      </c>
      <c r="J463" t="str">
        <f t="shared" si="29"/>
        <v>MaleHRMumbai38476</v>
      </c>
      <c r="K463" t="str">
        <f t="shared" si="30"/>
        <v>54PrinterMumbai</v>
      </c>
      <c r="L463" t="str">
        <f t="shared" si="31"/>
        <v>38476Printer</v>
      </c>
    </row>
    <row r="464" spans="1:12" x14ac:dyDescent="0.3">
      <c r="A464" t="s">
        <v>949</v>
      </c>
      <c r="B464" t="s">
        <v>950</v>
      </c>
      <c r="C464" t="s">
        <v>44</v>
      </c>
      <c r="D464" t="s">
        <v>16</v>
      </c>
      <c r="E464" t="s">
        <v>26</v>
      </c>
      <c r="F464">
        <v>50</v>
      </c>
      <c r="G464" t="s">
        <v>17</v>
      </c>
      <c r="H464">
        <v>12419</v>
      </c>
      <c r="I464" t="str">
        <f t="shared" si="28"/>
        <v>ITEmp_462</v>
      </c>
      <c r="J464" t="str">
        <f t="shared" si="29"/>
        <v>MaleITMumbai12419</v>
      </c>
      <c r="K464" t="str">
        <f t="shared" si="30"/>
        <v>50PrinterMumbai</v>
      </c>
      <c r="L464" t="str">
        <f t="shared" si="31"/>
        <v>12419Printer</v>
      </c>
    </row>
    <row r="465" spans="1:12" x14ac:dyDescent="0.3">
      <c r="A465" t="s">
        <v>951</v>
      </c>
      <c r="B465" t="s">
        <v>952</v>
      </c>
      <c r="C465" t="s">
        <v>10</v>
      </c>
      <c r="D465" t="s">
        <v>25</v>
      </c>
      <c r="E465" t="s">
        <v>26</v>
      </c>
      <c r="F465">
        <v>57</v>
      </c>
      <c r="G465" t="s">
        <v>17</v>
      </c>
      <c r="H465">
        <v>42533</v>
      </c>
      <c r="I465" t="str">
        <f t="shared" si="28"/>
        <v>SalesEmp_463</v>
      </c>
      <c r="J465" t="str">
        <f t="shared" si="29"/>
        <v>MaleSalesPune42533</v>
      </c>
      <c r="K465" t="str">
        <f t="shared" si="30"/>
        <v>57PrinterPune</v>
      </c>
      <c r="L465" t="str">
        <f t="shared" si="31"/>
        <v>42533Printer</v>
      </c>
    </row>
    <row r="466" spans="1:12" x14ac:dyDescent="0.3">
      <c r="A466" t="s">
        <v>953</v>
      </c>
      <c r="B466" t="s">
        <v>954</v>
      </c>
      <c r="C466" t="s">
        <v>20</v>
      </c>
      <c r="D466" t="s">
        <v>11</v>
      </c>
      <c r="E466" t="s">
        <v>26</v>
      </c>
      <c r="F466">
        <v>39</v>
      </c>
      <c r="G466" t="s">
        <v>62</v>
      </c>
      <c r="H466">
        <v>12484</v>
      </c>
      <c r="I466" t="str">
        <f t="shared" si="28"/>
        <v>HREmp_464</v>
      </c>
      <c r="J466" t="str">
        <f t="shared" si="29"/>
        <v>MaleHRDelhi12484</v>
      </c>
      <c r="K466" t="str">
        <f t="shared" si="30"/>
        <v>39MobileDelhi</v>
      </c>
      <c r="L466" t="str">
        <f t="shared" si="31"/>
        <v>12484Mobile</v>
      </c>
    </row>
    <row r="467" spans="1:12" x14ac:dyDescent="0.3">
      <c r="A467" t="s">
        <v>955</v>
      </c>
      <c r="B467" t="s">
        <v>956</v>
      </c>
      <c r="C467" t="s">
        <v>37</v>
      </c>
      <c r="D467" t="s">
        <v>11</v>
      </c>
      <c r="E467" t="s">
        <v>12</v>
      </c>
      <c r="F467">
        <v>29</v>
      </c>
      <c r="G467" t="s">
        <v>27</v>
      </c>
      <c r="H467">
        <v>22556</v>
      </c>
      <c r="I467" t="str">
        <f t="shared" si="28"/>
        <v>MarketingEmp_465</v>
      </c>
      <c r="J467" t="str">
        <f t="shared" si="29"/>
        <v>FemaleMarketingDelhi22556</v>
      </c>
      <c r="K467" t="str">
        <f t="shared" si="30"/>
        <v>29TabletDelhi</v>
      </c>
      <c r="L467" t="str">
        <f t="shared" si="31"/>
        <v>22556Tablet</v>
      </c>
    </row>
    <row r="468" spans="1:12" x14ac:dyDescent="0.3">
      <c r="A468" t="s">
        <v>957</v>
      </c>
      <c r="B468" t="s">
        <v>958</v>
      </c>
      <c r="C468" t="s">
        <v>20</v>
      </c>
      <c r="D468" t="s">
        <v>21</v>
      </c>
      <c r="E468" t="s">
        <v>12</v>
      </c>
      <c r="F468">
        <v>30</v>
      </c>
      <c r="G468" t="s">
        <v>62</v>
      </c>
      <c r="H468">
        <v>40593</v>
      </c>
      <c r="I468" t="str">
        <f t="shared" si="28"/>
        <v>HREmp_466</v>
      </c>
      <c r="J468" t="str">
        <f t="shared" si="29"/>
        <v>FemaleHRBangalore40593</v>
      </c>
      <c r="K468" t="str">
        <f t="shared" si="30"/>
        <v>30MobileBangalore</v>
      </c>
      <c r="L468" t="str">
        <f t="shared" si="31"/>
        <v>40593Mobile</v>
      </c>
    </row>
    <row r="469" spans="1:12" x14ac:dyDescent="0.3">
      <c r="A469" t="s">
        <v>959</v>
      </c>
      <c r="B469" t="s">
        <v>960</v>
      </c>
      <c r="C469" t="s">
        <v>10</v>
      </c>
      <c r="D469" t="s">
        <v>25</v>
      </c>
      <c r="E469" t="s">
        <v>26</v>
      </c>
      <c r="F469">
        <v>28</v>
      </c>
      <c r="G469" t="s">
        <v>62</v>
      </c>
      <c r="H469">
        <v>29042</v>
      </c>
      <c r="I469" t="str">
        <f t="shared" si="28"/>
        <v>SalesEmp_467</v>
      </c>
      <c r="J469" t="str">
        <f t="shared" si="29"/>
        <v>MaleSalesPune29042</v>
      </c>
      <c r="K469" t="str">
        <f t="shared" si="30"/>
        <v>28MobilePune</v>
      </c>
      <c r="L469" t="str">
        <f t="shared" si="31"/>
        <v>29042Mobile</v>
      </c>
    </row>
    <row r="470" spans="1:12" x14ac:dyDescent="0.3">
      <c r="A470" t="s">
        <v>961</v>
      </c>
      <c r="B470" t="s">
        <v>962</v>
      </c>
      <c r="C470" t="s">
        <v>20</v>
      </c>
      <c r="D470" t="s">
        <v>16</v>
      </c>
      <c r="E470" t="s">
        <v>12</v>
      </c>
      <c r="F470">
        <v>47</v>
      </c>
      <c r="G470" t="s">
        <v>13</v>
      </c>
      <c r="H470">
        <v>40523</v>
      </c>
      <c r="I470" t="str">
        <f t="shared" si="28"/>
        <v>HREmp_468</v>
      </c>
      <c r="J470" t="str">
        <f t="shared" si="29"/>
        <v>FemaleHRMumbai40523</v>
      </c>
      <c r="K470" t="str">
        <f t="shared" si="30"/>
        <v>47MonitorMumbai</v>
      </c>
      <c r="L470" t="str">
        <f t="shared" si="31"/>
        <v>40523Monitor</v>
      </c>
    </row>
    <row r="471" spans="1:12" x14ac:dyDescent="0.3">
      <c r="A471" t="s">
        <v>963</v>
      </c>
      <c r="B471" t="s">
        <v>964</v>
      </c>
      <c r="C471" t="s">
        <v>37</v>
      </c>
      <c r="D471" t="s">
        <v>25</v>
      </c>
      <c r="E471" t="s">
        <v>12</v>
      </c>
      <c r="F471">
        <v>45</v>
      </c>
      <c r="G471" t="s">
        <v>17</v>
      </c>
      <c r="H471">
        <v>7726</v>
      </c>
      <c r="I471" t="str">
        <f t="shared" si="28"/>
        <v>MarketingEmp_469</v>
      </c>
      <c r="J471" t="str">
        <f t="shared" si="29"/>
        <v>FemaleMarketingPune7726</v>
      </c>
      <c r="K471" t="str">
        <f t="shared" si="30"/>
        <v>45PrinterPune</v>
      </c>
      <c r="L471" t="str">
        <f t="shared" si="31"/>
        <v>7726Printer</v>
      </c>
    </row>
    <row r="472" spans="1:12" x14ac:dyDescent="0.3">
      <c r="A472" t="s">
        <v>965</v>
      </c>
      <c r="B472" t="s">
        <v>966</v>
      </c>
      <c r="C472" t="s">
        <v>20</v>
      </c>
      <c r="D472" t="s">
        <v>55</v>
      </c>
      <c r="E472" t="s">
        <v>12</v>
      </c>
      <c r="F472">
        <v>43</v>
      </c>
      <c r="G472" t="s">
        <v>62</v>
      </c>
      <c r="H472">
        <v>33925</v>
      </c>
      <c r="I472" t="str">
        <f t="shared" si="28"/>
        <v>HREmp_470</v>
      </c>
      <c r="J472" t="str">
        <f t="shared" si="29"/>
        <v>FemaleHRHyderabad33925</v>
      </c>
      <c r="K472" t="str">
        <f t="shared" si="30"/>
        <v>43MobileHyderabad</v>
      </c>
      <c r="L472" t="str">
        <f t="shared" si="31"/>
        <v>33925Mobile</v>
      </c>
    </row>
    <row r="473" spans="1:12" x14ac:dyDescent="0.3">
      <c r="A473" t="s">
        <v>967</v>
      </c>
      <c r="B473" t="s">
        <v>968</v>
      </c>
      <c r="C473" t="s">
        <v>44</v>
      </c>
      <c r="D473" t="s">
        <v>16</v>
      </c>
      <c r="E473" t="s">
        <v>12</v>
      </c>
      <c r="F473">
        <v>57</v>
      </c>
      <c r="G473" t="s">
        <v>13</v>
      </c>
      <c r="H473">
        <v>40805</v>
      </c>
      <c r="I473" t="str">
        <f t="shared" si="28"/>
        <v>ITEmp_471</v>
      </c>
      <c r="J473" t="str">
        <f t="shared" si="29"/>
        <v>FemaleITMumbai40805</v>
      </c>
      <c r="K473" t="str">
        <f t="shared" si="30"/>
        <v>57MonitorMumbai</v>
      </c>
      <c r="L473" t="str">
        <f t="shared" si="31"/>
        <v>40805Monitor</v>
      </c>
    </row>
    <row r="474" spans="1:12" x14ac:dyDescent="0.3">
      <c r="A474" t="s">
        <v>969</v>
      </c>
      <c r="B474" t="s">
        <v>970</v>
      </c>
      <c r="C474" t="s">
        <v>20</v>
      </c>
      <c r="D474" t="s">
        <v>11</v>
      </c>
      <c r="E474" t="s">
        <v>12</v>
      </c>
      <c r="F474">
        <v>45</v>
      </c>
      <c r="G474" t="s">
        <v>32</v>
      </c>
      <c r="H474">
        <v>19322</v>
      </c>
      <c r="I474" t="str">
        <f t="shared" si="28"/>
        <v>HREmp_472</v>
      </c>
      <c r="J474" t="str">
        <f t="shared" si="29"/>
        <v>FemaleHRDelhi19322</v>
      </c>
      <c r="K474" t="str">
        <f t="shared" si="30"/>
        <v>45LaptopDelhi</v>
      </c>
      <c r="L474" t="str">
        <f t="shared" si="31"/>
        <v>19322Laptop</v>
      </c>
    </row>
    <row r="475" spans="1:12" x14ac:dyDescent="0.3">
      <c r="A475" t="s">
        <v>971</v>
      </c>
      <c r="B475" t="s">
        <v>972</v>
      </c>
      <c r="C475" t="s">
        <v>44</v>
      </c>
      <c r="D475" t="s">
        <v>16</v>
      </c>
      <c r="E475" t="s">
        <v>12</v>
      </c>
      <c r="F475">
        <v>31</v>
      </c>
      <c r="G475" t="s">
        <v>13</v>
      </c>
      <c r="H475">
        <v>32862</v>
      </c>
      <c r="I475" t="str">
        <f t="shared" si="28"/>
        <v>ITEmp_473</v>
      </c>
      <c r="J475" t="str">
        <f t="shared" si="29"/>
        <v>FemaleITMumbai32862</v>
      </c>
      <c r="K475" t="str">
        <f t="shared" si="30"/>
        <v>31MonitorMumbai</v>
      </c>
      <c r="L475" t="str">
        <f t="shared" si="31"/>
        <v>32862Monitor</v>
      </c>
    </row>
    <row r="476" spans="1:12" x14ac:dyDescent="0.3">
      <c r="A476" t="s">
        <v>973</v>
      </c>
      <c r="B476" t="s">
        <v>974</v>
      </c>
      <c r="C476" t="s">
        <v>20</v>
      </c>
      <c r="D476" t="s">
        <v>55</v>
      </c>
      <c r="E476" t="s">
        <v>26</v>
      </c>
      <c r="F476">
        <v>34</v>
      </c>
      <c r="G476" t="s">
        <v>32</v>
      </c>
      <c r="H476">
        <v>11711</v>
      </c>
      <c r="I476" t="str">
        <f t="shared" si="28"/>
        <v>HREmp_474</v>
      </c>
      <c r="J476" t="str">
        <f t="shared" si="29"/>
        <v>MaleHRHyderabad11711</v>
      </c>
      <c r="K476" t="str">
        <f t="shared" si="30"/>
        <v>34LaptopHyderabad</v>
      </c>
      <c r="L476" t="str">
        <f t="shared" si="31"/>
        <v>11711Laptop</v>
      </c>
    </row>
    <row r="477" spans="1:12" x14ac:dyDescent="0.3">
      <c r="A477" t="s">
        <v>975</v>
      </c>
      <c r="B477" t="s">
        <v>976</v>
      </c>
      <c r="C477" t="s">
        <v>37</v>
      </c>
      <c r="D477" t="s">
        <v>16</v>
      </c>
      <c r="E477" t="s">
        <v>12</v>
      </c>
      <c r="F477">
        <v>60</v>
      </c>
      <c r="G477" t="s">
        <v>32</v>
      </c>
      <c r="H477">
        <v>47839</v>
      </c>
      <c r="I477" t="str">
        <f t="shared" si="28"/>
        <v>MarketingEmp_475</v>
      </c>
      <c r="J477" t="str">
        <f t="shared" si="29"/>
        <v>FemaleMarketingMumbai47839</v>
      </c>
      <c r="K477" t="str">
        <f t="shared" si="30"/>
        <v>60LaptopMumbai</v>
      </c>
      <c r="L477" t="str">
        <f t="shared" si="31"/>
        <v>47839Laptop</v>
      </c>
    </row>
    <row r="478" spans="1:12" x14ac:dyDescent="0.3">
      <c r="A478" t="s">
        <v>977</v>
      </c>
      <c r="B478" t="s">
        <v>978</v>
      </c>
      <c r="C478" t="s">
        <v>24</v>
      </c>
      <c r="D478" t="s">
        <v>11</v>
      </c>
      <c r="E478" t="s">
        <v>26</v>
      </c>
      <c r="F478">
        <v>54</v>
      </c>
      <c r="G478" t="s">
        <v>32</v>
      </c>
      <c r="H478">
        <v>21222</v>
      </c>
      <c r="I478" t="str">
        <f t="shared" si="28"/>
        <v>FinanceEmp_476</v>
      </c>
      <c r="J478" t="str">
        <f t="shared" si="29"/>
        <v>MaleFinanceDelhi21222</v>
      </c>
      <c r="K478" t="str">
        <f t="shared" si="30"/>
        <v>54LaptopDelhi</v>
      </c>
      <c r="L478" t="str">
        <f t="shared" si="31"/>
        <v>21222Laptop</v>
      </c>
    </row>
    <row r="479" spans="1:12" x14ac:dyDescent="0.3">
      <c r="A479" t="s">
        <v>979</v>
      </c>
      <c r="B479" t="s">
        <v>980</v>
      </c>
      <c r="C479" t="s">
        <v>24</v>
      </c>
      <c r="D479" t="s">
        <v>55</v>
      </c>
      <c r="E479" t="s">
        <v>12</v>
      </c>
      <c r="F479">
        <v>47</v>
      </c>
      <c r="G479" t="s">
        <v>32</v>
      </c>
      <c r="H479">
        <v>24510</v>
      </c>
      <c r="I479" t="str">
        <f t="shared" si="28"/>
        <v>FinanceEmp_477</v>
      </c>
      <c r="J479" t="str">
        <f t="shared" si="29"/>
        <v>FemaleFinanceHyderabad24510</v>
      </c>
      <c r="K479" t="str">
        <f t="shared" si="30"/>
        <v>47LaptopHyderabad</v>
      </c>
      <c r="L479" t="str">
        <f t="shared" si="31"/>
        <v>24510Laptop</v>
      </c>
    </row>
    <row r="480" spans="1:12" x14ac:dyDescent="0.3">
      <c r="A480" t="s">
        <v>981</v>
      </c>
      <c r="B480" t="s">
        <v>982</v>
      </c>
      <c r="C480" t="s">
        <v>44</v>
      </c>
      <c r="D480" t="s">
        <v>21</v>
      </c>
      <c r="E480" t="s">
        <v>26</v>
      </c>
      <c r="F480">
        <v>54</v>
      </c>
      <c r="G480" t="s">
        <v>17</v>
      </c>
      <c r="H480">
        <v>7112</v>
      </c>
      <c r="I480" t="str">
        <f t="shared" si="28"/>
        <v>ITEmp_478</v>
      </c>
      <c r="J480" t="str">
        <f t="shared" si="29"/>
        <v>MaleITBangalore7112</v>
      </c>
      <c r="K480" t="str">
        <f t="shared" si="30"/>
        <v>54PrinterBangalore</v>
      </c>
      <c r="L480" t="str">
        <f t="shared" si="31"/>
        <v>7112Printer</v>
      </c>
    </row>
    <row r="481" spans="1:12" x14ac:dyDescent="0.3">
      <c r="A481" t="s">
        <v>983</v>
      </c>
      <c r="B481" t="s">
        <v>984</v>
      </c>
      <c r="C481" t="s">
        <v>44</v>
      </c>
      <c r="D481" t="s">
        <v>25</v>
      </c>
      <c r="E481" t="s">
        <v>12</v>
      </c>
      <c r="F481">
        <v>24</v>
      </c>
      <c r="G481" t="s">
        <v>62</v>
      </c>
      <c r="H481">
        <v>34473</v>
      </c>
      <c r="I481" t="str">
        <f t="shared" si="28"/>
        <v>ITEmp_479</v>
      </c>
      <c r="J481" t="str">
        <f t="shared" si="29"/>
        <v>FemaleITPune34473</v>
      </c>
      <c r="K481" t="str">
        <f t="shared" si="30"/>
        <v>24MobilePune</v>
      </c>
      <c r="L481" t="str">
        <f t="shared" si="31"/>
        <v>34473Mobile</v>
      </c>
    </row>
    <row r="482" spans="1:12" x14ac:dyDescent="0.3">
      <c r="A482" t="s">
        <v>985</v>
      </c>
      <c r="B482" t="s">
        <v>986</v>
      </c>
      <c r="C482" t="s">
        <v>24</v>
      </c>
      <c r="D482" t="s">
        <v>21</v>
      </c>
      <c r="E482" t="s">
        <v>12</v>
      </c>
      <c r="F482">
        <v>24</v>
      </c>
      <c r="G482" t="s">
        <v>62</v>
      </c>
      <c r="H482">
        <v>22223</v>
      </c>
      <c r="I482" t="str">
        <f t="shared" si="28"/>
        <v>FinanceEmp_480</v>
      </c>
      <c r="J482" t="str">
        <f t="shared" si="29"/>
        <v>FemaleFinanceBangalore22223</v>
      </c>
      <c r="K482" t="str">
        <f t="shared" si="30"/>
        <v>24MobileBangalore</v>
      </c>
      <c r="L482" t="str">
        <f t="shared" si="31"/>
        <v>22223Mobile</v>
      </c>
    </row>
    <row r="483" spans="1:12" x14ac:dyDescent="0.3">
      <c r="A483" t="s">
        <v>987</v>
      </c>
      <c r="B483" t="s">
        <v>988</v>
      </c>
      <c r="C483" t="s">
        <v>37</v>
      </c>
      <c r="D483" t="s">
        <v>55</v>
      </c>
      <c r="E483" t="s">
        <v>12</v>
      </c>
      <c r="F483">
        <v>24</v>
      </c>
      <c r="G483" t="s">
        <v>32</v>
      </c>
      <c r="H483">
        <v>27844</v>
      </c>
      <c r="I483" t="str">
        <f t="shared" si="28"/>
        <v>MarketingEmp_481</v>
      </c>
      <c r="J483" t="str">
        <f t="shared" si="29"/>
        <v>FemaleMarketingHyderabad27844</v>
      </c>
      <c r="K483" t="str">
        <f t="shared" si="30"/>
        <v>24LaptopHyderabad</v>
      </c>
      <c r="L483" t="str">
        <f t="shared" si="31"/>
        <v>27844Laptop</v>
      </c>
    </row>
    <row r="484" spans="1:12" x14ac:dyDescent="0.3">
      <c r="A484" t="s">
        <v>989</v>
      </c>
      <c r="B484" t="s">
        <v>990</v>
      </c>
      <c r="C484" t="s">
        <v>37</v>
      </c>
      <c r="D484" t="s">
        <v>55</v>
      </c>
      <c r="E484" t="s">
        <v>26</v>
      </c>
      <c r="F484">
        <v>30</v>
      </c>
      <c r="G484" t="s">
        <v>62</v>
      </c>
      <c r="H484">
        <v>10700</v>
      </c>
      <c r="I484" t="str">
        <f t="shared" si="28"/>
        <v>MarketingEmp_482</v>
      </c>
      <c r="J484" t="str">
        <f t="shared" si="29"/>
        <v>MaleMarketingHyderabad10700</v>
      </c>
      <c r="K484" t="str">
        <f t="shared" si="30"/>
        <v>30MobileHyderabad</v>
      </c>
      <c r="L484" t="str">
        <f t="shared" si="31"/>
        <v>10700Mobile</v>
      </c>
    </row>
    <row r="485" spans="1:12" x14ac:dyDescent="0.3">
      <c r="A485" t="s">
        <v>991</v>
      </c>
      <c r="B485" t="s">
        <v>992</v>
      </c>
      <c r="C485" t="s">
        <v>20</v>
      </c>
      <c r="D485" t="s">
        <v>55</v>
      </c>
      <c r="E485" t="s">
        <v>12</v>
      </c>
      <c r="F485">
        <v>43</v>
      </c>
      <c r="G485" t="s">
        <v>32</v>
      </c>
      <c r="H485">
        <v>33774</v>
      </c>
      <c r="I485" t="str">
        <f t="shared" si="28"/>
        <v>HREmp_483</v>
      </c>
      <c r="J485" t="str">
        <f t="shared" si="29"/>
        <v>FemaleHRHyderabad33774</v>
      </c>
      <c r="K485" t="str">
        <f t="shared" si="30"/>
        <v>43LaptopHyderabad</v>
      </c>
      <c r="L485" t="str">
        <f t="shared" si="31"/>
        <v>33774Laptop</v>
      </c>
    </row>
    <row r="486" spans="1:12" x14ac:dyDescent="0.3">
      <c r="A486" t="s">
        <v>993</v>
      </c>
      <c r="B486" t="s">
        <v>994</v>
      </c>
      <c r="C486" t="s">
        <v>44</v>
      </c>
      <c r="D486" t="s">
        <v>11</v>
      </c>
      <c r="E486" t="s">
        <v>26</v>
      </c>
      <c r="F486">
        <v>52</v>
      </c>
      <c r="G486" t="s">
        <v>62</v>
      </c>
      <c r="H486">
        <v>12693</v>
      </c>
      <c r="I486" t="str">
        <f t="shared" si="28"/>
        <v>ITEmp_484</v>
      </c>
      <c r="J486" t="str">
        <f t="shared" si="29"/>
        <v>MaleITDelhi12693</v>
      </c>
      <c r="K486" t="str">
        <f t="shared" si="30"/>
        <v>52MobileDelhi</v>
      </c>
      <c r="L486" t="str">
        <f t="shared" si="31"/>
        <v>12693Mobile</v>
      </c>
    </row>
    <row r="487" spans="1:12" x14ac:dyDescent="0.3">
      <c r="A487" t="s">
        <v>995</v>
      </c>
      <c r="B487" t="s">
        <v>996</v>
      </c>
      <c r="C487" t="s">
        <v>37</v>
      </c>
      <c r="D487" t="s">
        <v>55</v>
      </c>
      <c r="E487" t="s">
        <v>26</v>
      </c>
      <c r="F487">
        <v>55</v>
      </c>
      <c r="G487" t="s">
        <v>13</v>
      </c>
      <c r="H487">
        <v>20528</v>
      </c>
      <c r="I487" t="str">
        <f t="shared" si="28"/>
        <v>MarketingEmp_485</v>
      </c>
      <c r="J487" t="str">
        <f t="shared" si="29"/>
        <v>MaleMarketingHyderabad20528</v>
      </c>
      <c r="K487" t="str">
        <f t="shared" si="30"/>
        <v>55MonitorHyderabad</v>
      </c>
      <c r="L487" t="str">
        <f t="shared" si="31"/>
        <v>20528Monitor</v>
      </c>
    </row>
    <row r="488" spans="1:12" x14ac:dyDescent="0.3">
      <c r="A488" t="s">
        <v>997</v>
      </c>
      <c r="B488" t="s">
        <v>998</v>
      </c>
      <c r="C488" t="s">
        <v>10</v>
      </c>
      <c r="D488" t="s">
        <v>25</v>
      </c>
      <c r="E488" t="s">
        <v>12</v>
      </c>
      <c r="F488">
        <v>51</v>
      </c>
      <c r="G488" t="s">
        <v>17</v>
      </c>
      <c r="H488">
        <v>18754</v>
      </c>
      <c r="I488" t="str">
        <f t="shared" si="28"/>
        <v>SalesEmp_486</v>
      </c>
      <c r="J488" t="str">
        <f t="shared" si="29"/>
        <v>FemaleSalesPune18754</v>
      </c>
      <c r="K488" t="str">
        <f t="shared" si="30"/>
        <v>51PrinterPune</v>
      </c>
      <c r="L488" t="str">
        <f t="shared" si="31"/>
        <v>18754Printer</v>
      </c>
    </row>
    <row r="489" spans="1:12" x14ac:dyDescent="0.3">
      <c r="A489" t="s">
        <v>999</v>
      </c>
      <c r="B489" t="s">
        <v>1000</v>
      </c>
      <c r="C489" t="s">
        <v>20</v>
      </c>
      <c r="D489" t="s">
        <v>11</v>
      </c>
      <c r="E489" t="s">
        <v>12</v>
      </c>
      <c r="F489">
        <v>31</v>
      </c>
      <c r="G489" t="s">
        <v>27</v>
      </c>
      <c r="H489">
        <v>43530</v>
      </c>
      <c r="I489" t="str">
        <f t="shared" si="28"/>
        <v>HREmp_487</v>
      </c>
      <c r="J489" t="str">
        <f t="shared" si="29"/>
        <v>FemaleHRDelhi43530</v>
      </c>
      <c r="K489" t="str">
        <f t="shared" si="30"/>
        <v>31TabletDelhi</v>
      </c>
      <c r="L489" t="str">
        <f t="shared" si="31"/>
        <v>43530Tablet</v>
      </c>
    </row>
    <row r="490" spans="1:12" x14ac:dyDescent="0.3">
      <c r="A490" t="s">
        <v>1001</v>
      </c>
      <c r="B490" t="s">
        <v>1002</v>
      </c>
      <c r="C490" t="s">
        <v>20</v>
      </c>
      <c r="D490" t="s">
        <v>55</v>
      </c>
      <c r="E490" t="s">
        <v>12</v>
      </c>
      <c r="F490">
        <v>60</v>
      </c>
      <c r="G490" t="s">
        <v>32</v>
      </c>
      <c r="H490">
        <v>27978</v>
      </c>
      <c r="I490" t="str">
        <f t="shared" si="28"/>
        <v>HREmp_488</v>
      </c>
      <c r="J490" t="str">
        <f t="shared" si="29"/>
        <v>FemaleHRHyderabad27978</v>
      </c>
      <c r="K490" t="str">
        <f t="shared" si="30"/>
        <v>60LaptopHyderabad</v>
      </c>
      <c r="L490" t="str">
        <f t="shared" si="31"/>
        <v>27978Laptop</v>
      </c>
    </row>
    <row r="491" spans="1:12" x14ac:dyDescent="0.3">
      <c r="A491" t="s">
        <v>1003</v>
      </c>
      <c r="B491" t="s">
        <v>1004</v>
      </c>
      <c r="C491" t="s">
        <v>24</v>
      </c>
      <c r="D491" t="s">
        <v>11</v>
      </c>
      <c r="E491" t="s">
        <v>26</v>
      </c>
      <c r="F491">
        <v>54</v>
      </c>
      <c r="G491" t="s">
        <v>13</v>
      </c>
      <c r="H491">
        <v>44994</v>
      </c>
      <c r="I491" t="str">
        <f t="shared" si="28"/>
        <v>FinanceEmp_489</v>
      </c>
      <c r="J491" t="str">
        <f t="shared" si="29"/>
        <v>MaleFinanceDelhi44994</v>
      </c>
      <c r="K491" t="str">
        <f t="shared" si="30"/>
        <v>54MonitorDelhi</v>
      </c>
      <c r="L491" t="str">
        <f t="shared" si="31"/>
        <v>44994Monitor</v>
      </c>
    </row>
    <row r="492" spans="1:12" x14ac:dyDescent="0.3">
      <c r="A492" t="s">
        <v>1005</v>
      </c>
      <c r="B492" t="s">
        <v>1006</v>
      </c>
      <c r="C492" t="s">
        <v>44</v>
      </c>
      <c r="D492" t="s">
        <v>25</v>
      </c>
      <c r="E492" t="s">
        <v>26</v>
      </c>
      <c r="F492">
        <v>30</v>
      </c>
      <c r="G492" t="s">
        <v>13</v>
      </c>
      <c r="H492">
        <v>46469</v>
      </c>
      <c r="I492" t="str">
        <f t="shared" si="28"/>
        <v>ITEmp_490</v>
      </c>
      <c r="J492" t="str">
        <f t="shared" si="29"/>
        <v>MaleITPune46469</v>
      </c>
      <c r="K492" t="str">
        <f t="shared" si="30"/>
        <v>30MonitorPune</v>
      </c>
      <c r="L492" t="str">
        <f t="shared" si="31"/>
        <v>46469Monitor</v>
      </c>
    </row>
    <row r="493" spans="1:12" x14ac:dyDescent="0.3">
      <c r="A493" t="s">
        <v>1007</v>
      </c>
      <c r="B493" t="s">
        <v>1008</v>
      </c>
      <c r="C493" t="s">
        <v>37</v>
      </c>
      <c r="D493" t="s">
        <v>25</v>
      </c>
      <c r="E493" t="s">
        <v>12</v>
      </c>
      <c r="F493">
        <v>42</v>
      </c>
      <c r="G493" t="s">
        <v>17</v>
      </c>
      <c r="H493">
        <v>33060</v>
      </c>
      <c r="I493" t="str">
        <f t="shared" si="28"/>
        <v>MarketingEmp_491</v>
      </c>
      <c r="J493" t="str">
        <f t="shared" si="29"/>
        <v>FemaleMarketingPune33060</v>
      </c>
      <c r="K493" t="str">
        <f t="shared" si="30"/>
        <v>42PrinterPune</v>
      </c>
      <c r="L493" t="str">
        <f t="shared" si="31"/>
        <v>33060Printer</v>
      </c>
    </row>
    <row r="494" spans="1:12" x14ac:dyDescent="0.3">
      <c r="A494" t="s">
        <v>1009</v>
      </c>
      <c r="B494" t="s">
        <v>1010</v>
      </c>
      <c r="C494" t="s">
        <v>37</v>
      </c>
      <c r="D494" t="s">
        <v>11</v>
      </c>
      <c r="E494" t="s">
        <v>12</v>
      </c>
      <c r="F494">
        <v>42</v>
      </c>
      <c r="G494" t="s">
        <v>17</v>
      </c>
      <c r="H494">
        <v>15877</v>
      </c>
      <c r="I494" t="str">
        <f t="shared" si="28"/>
        <v>MarketingEmp_492</v>
      </c>
      <c r="J494" t="str">
        <f t="shared" si="29"/>
        <v>FemaleMarketingDelhi15877</v>
      </c>
      <c r="K494" t="str">
        <f t="shared" si="30"/>
        <v>42PrinterDelhi</v>
      </c>
      <c r="L494" t="str">
        <f t="shared" si="31"/>
        <v>15877Printer</v>
      </c>
    </row>
    <row r="495" spans="1:12" x14ac:dyDescent="0.3">
      <c r="A495" t="s">
        <v>1011</v>
      </c>
      <c r="B495" t="s">
        <v>1012</v>
      </c>
      <c r="C495" t="s">
        <v>20</v>
      </c>
      <c r="D495" t="s">
        <v>16</v>
      </c>
      <c r="E495" t="s">
        <v>12</v>
      </c>
      <c r="F495">
        <v>32</v>
      </c>
      <c r="G495" t="s">
        <v>32</v>
      </c>
      <c r="H495">
        <v>45380</v>
      </c>
      <c r="I495" t="str">
        <f t="shared" si="28"/>
        <v>HREmp_493</v>
      </c>
      <c r="J495" t="str">
        <f t="shared" si="29"/>
        <v>FemaleHRMumbai45380</v>
      </c>
      <c r="K495" t="str">
        <f t="shared" si="30"/>
        <v>32LaptopMumbai</v>
      </c>
      <c r="L495" t="str">
        <f t="shared" si="31"/>
        <v>45380Laptop</v>
      </c>
    </row>
    <row r="496" spans="1:12" x14ac:dyDescent="0.3">
      <c r="A496" t="s">
        <v>1013</v>
      </c>
      <c r="B496" t="s">
        <v>1014</v>
      </c>
      <c r="C496" t="s">
        <v>44</v>
      </c>
      <c r="D496" t="s">
        <v>21</v>
      </c>
      <c r="E496" t="s">
        <v>26</v>
      </c>
      <c r="F496">
        <v>47</v>
      </c>
      <c r="G496" t="s">
        <v>32</v>
      </c>
      <c r="H496">
        <v>14124</v>
      </c>
      <c r="I496" t="str">
        <f t="shared" si="28"/>
        <v>ITEmp_494</v>
      </c>
      <c r="J496" t="str">
        <f t="shared" si="29"/>
        <v>MaleITBangalore14124</v>
      </c>
      <c r="K496" t="str">
        <f t="shared" si="30"/>
        <v>47LaptopBangalore</v>
      </c>
      <c r="L496" t="str">
        <f t="shared" si="31"/>
        <v>14124Laptop</v>
      </c>
    </row>
    <row r="497" spans="1:12" x14ac:dyDescent="0.3">
      <c r="A497" t="s">
        <v>1015</v>
      </c>
      <c r="B497" t="s">
        <v>1016</v>
      </c>
      <c r="C497" t="s">
        <v>44</v>
      </c>
      <c r="D497" t="s">
        <v>55</v>
      </c>
      <c r="E497" t="s">
        <v>26</v>
      </c>
      <c r="F497">
        <v>41</v>
      </c>
      <c r="G497" t="s">
        <v>13</v>
      </c>
      <c r="H497">
        <v>18541</v>
      </c>
      <c r="I497" t="str">
        <f t="shared" si="28"/>
        <v>ITEmp_495</v>
      </c>
      <c r="J497" t="str">
        <f t="shared" si="29"/>
        <v>MaleITHyderabad18541</v>
      </c>
      <c r="K497" t="str">
        <f t="shared" si="30"/>
        <v>41MonitorHyderabad</v>
      </c>
      <c r="L497" t="str">
        <f t="shared" si="31"/>
        <v>18541Monitor</v>
      </c>
    </row>
    <row r="498" spans="1:12" x14ac:dyDescent="0.3">
      <c r="A498" t="s">
        <v>1017</v>
      </c>
      <c r="B498" t="s">
        <v>1018</v>
      </c>
      <c r="C498" t="s">
        <v>44</v>
      </c>
      <c r="D498" t="s">
        <v>21</v>
      </c>
      <c r="E498" t="s">
        <v>12</v>
      </c>
      <c r="F498">
        <v>59</v>
      </c>
      <c r="G498" t="s">
        <v>13</v>
      </c>
      <c r="H498">
        <v>18562</v>
      </c>
      <c r="I498" t="str">
        <f t="shared" si="28"/>
        <v>ITEmp_496</v>
      </c>
      <c r="J498" t="str">
        <f t="shared" si="29"/>
        <v>FemaleITBangalore18562</v>
      </c>
      <c r="K498" t="str">
        <f t="shared" si="30"/>
        <v>59MonitorBangalore</v>
      </c>
      <c r="L498" t="str">
        <f t="shared" si="31"/>
        <v>18562Monitor</v>
      </c>
    </row>
    <row r="499" spans="1:12" x14ac:dyDescent="0.3">
      <c r="A499" t="s">
        <v>1019</v>
      </c>
      <c r="B499" t="s">
        <v>1020</v>
      </c>
      <c r="C499" t="s">
        <v>24</v>
      </c>
      <c r="D499" t="s">
        <v>25</v>
      </c>
      <c r="E499" t="s">
        <v>12</v>
      </c>
      <c r="F499">
        <v>43</v>
      </c>
      <c r="G499" t="s">
        <v>17</v>
      </c>
      <c r="H499">
        <v>8890</v>
      </c>
      <c r="I499" t="str">
        <f t="shared" si="28"/>
        <v>FinanceEmp_497</v>
      </c>
      <c r="J499" t="str">
        <f t="shared" si="29"/>
        <v>FemaleFinancePune8890</v>
      </c>
      <c r="K499" t="str">
        <f t="shared" si="30"/>
        <v>43PrinterPune</v>
      </c>
      <c r="L499" t="str">
        <f t="shared" si="31"/>
        <v>8890Printer</v>
      </c>
    </row>
    <row r="500" spans="1:12" x14ac:dyDescent="0.3">
      <c r="A500" t="s">
        <v>1021</v>
      </c>
      <c r="B500" t="s">
        <v>1022</v>
      </c>
      <c r="C500" t="s">
        <v>37</v>
      </c>
      <c r="D500" t="s">
        <v>21</v>
      </c>
      <c r="E500" t="s">
        <v>26</v>
      </c>
      <c r="F500">
        <v>54</v>
      </c>
      <c r="G500" t="s">
        <v>32</v>
      </c>
      <c r="H500">
        <v>42360</v>
      </c>
      <c r="I500" t="str">
        <f t="shared" si="28"/>
        <v>MarketingEmp_498</v>
      </c>
      <c r="J500" t="str">
        <f t="shared" si="29"/>
        <v>MaleMarketingBangalore42360</v>
      </c>
      <c r="K500" t="str">
        <f t="shared" si="30"/>
        <v>54LaptopBangalore</v>
      </c>
      <c r="L500" t="str">
        <f t="shared" si="31"/>
        <v>42360Laptop</v>
      </c>
    </row>
    <row r="501" spans="1:12" x14ac:dyDescent="0.3">
      <c r="A501" t="s">
        <v>1023</v>
      </c>
      <c r="B501" t="s">
        <v>1024</v>
      </c>
      <c r="C501" t="s">
        <v>44</v>
      </c>
      <c r="D501" t="s">
        <v>16</v>
      </c>
      <c r="E501" t="s">
        <v>12</v>
      </c>
      <c r="F501">
        <v>54</v>
      </c>
      <c r="G501" t="s">
        <v>32</v>
      </c>
      <c r="H501">
        <v>27991</v>
      </c>
      <c r="I501" t="str">
        <f t="shared" si="28"/>
        <v>ITEmp_499</v>
      </c>
      <c r="J501" t="str">
        <f t="shared" si="29"/>
        <v>FemaleITMumbai27991</v>
      </c>
      <c r="K501" t="str">
        <f t="shared" si="30"/>
        <v>54LaptopMumbai</v>
      </c>
      <c r="L501" t="str">
        <f t="shared" si="31"/>
        <v>27991Laptop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53D1-B892-486F-BB69-D941BE57DDD7}">
  <dimension ref="A1:M23"/>
  <sheetViews>
    <sheetView tabSelected="1" topLeftCell="A10" zoomScale="138" workbookViewId="0">
      <selection activeCell="L12" sqref="L12"/>
    </sheetView>
  </sheetViews>
  <sheetFormatPr defaultRowHeight="14.4" x14ac:dyDescent="0.3"/>
  <sheetData>
    <row r="1" spans="1:13" ht="21" x14ac:dyDescent="0.4">
      <c r="A1" s="3" t="s">
        <v>1035</v>
      </c>
    </row>
    <row r="3" spans="1:13" x14ac:dyDescent="0.3">
      <c r="A3" s="1" t="s">
        <v>1025</v>
      </c>
    </row>
    <row r="4" spans="1:13" x14ac:dyDescent="0.3">
      <c r="A4" s="1"/>
    </row>
    <row r="5" spans="1:13" x14ac:dyDescent="0.3">
      <c r="A5" s="1" t="s">
        <v>1026</v>
      </c>
    </row>
    <row r="6" spans="1:13" x14ac:dyDescent="0.3">
      <c r="A6" s="1"/>
    </row>
    <row r="7" spans="1:13" x14ac:dyDescent="0.3">
      <c r="A7" s="1" t="s">
        <v>1027</v>
      </c>
      <c r="M7">
        <v>46729</v>
      </c>
    </row>
    <row r="8" spans="1:13" x14ac:dyDescent="0.3">
      <c r="A8" s="1"/>
      <c r="M8">
        <v>34415</v>
      </c>
    </row>
    <row r="9" spans="1:13" x14ac:dyDescent="0.3">
      <c r="A9" s="1" t="s">
        <v>1028</v>
      </c>
      <c r="M9">
        <v>36734</v>
      </c>
    </row>
    <row r="10" spans="1:13" x14ac:dyDescent="0.3">
      <c r="A10" s="1"/>
      <c r="M10">
        <v>6480</v>
      </c>
    </row>
    <row r="11" spans="1:13" x14ac:dyDescent="0.3">
      <c r="A11" s="1" t="s">
        <v>1029</v>
      </c>
      <c r="M11">
        <v>7726</v>
      </c>
    </row>
    <row r="12" spans="1:13" x14ac:dyDescent="0.3">
      <c r="M12">
        <v>33060</v>
      </c>
    </row>
    <row r="13" spans="1:13" ht="18" x14ac:dyDescent="0.3">
      <c r="A13" s="2"/>
    </row>
    <row r="14" spans="1:13" x14ac:dyDescent="0.3">
      <c r="A14" s="1"/>
    </row>
    <row r="15" spans="1:13" x14ac:dyDescent="0.3">
      <c r="A15" s="1" t="s">
        <v>1030</v>
      </c>
    </row>
    <row r="16" spans="1:13" x14ac:dyDescent="0.3">
      <c r="A16" s="1"/>
    </row>
    <row r="17" spans="1:1" x14ac:dyDescent="0.3">
      <c r="A17" s="1" t="s">
        <v>1031</v>
      </c>
    </row>
    <row r="18" spans="1:1" x14ac:dyDescent="0.3">
      <c r="A18" s="1"/>
    </row>
    <row r="19" spans="1:1" x14ac:dyDescent="0.3">
      <c r="A19" s="1" t="s">
        <v>1032</v>
      </c>
    </row>
    <row r="20" spans="1:1" x14ac:dyDescent="0.3">
      <c r="A20" s="1"/>
    </row>
    <row r="21" spans="1:1" x14ac:dyDescent="0.3">
      <c r="A21" s="1" t="s">
        <v>1033</v>
      </c>
    </row>
    <row r="22" spans="1:1" x14ac:dyDescent="0.3">
      <c r="A22" s="1"/>
    </row>
    <row r="23" spans="1:1" x14ac:dyDescent="0.3">
      <c r="A23" s="1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sample_employee_sales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Rohan Lande</cp:lastModifiedBy>
  <dcterms:created xsi:type="dcterms:W3CDTF">2025-09-05T05:56:23Z</dcterms:created>
  <dcterms:modified xsi:type="dcterms:W3CDTF">2025-11-29T07:08:19Z</dcterms:modified>
</cp:coreProperties>
</file>