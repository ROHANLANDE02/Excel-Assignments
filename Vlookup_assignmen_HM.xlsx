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820B8B30-497A-4DCE-AA0E-493D767E6730}" xr6:coauthVersionLast="47" xr6:coauthVersionMax="47" xr10:uidLastSave="{00000000-0000-0000-0000-000000000000}"/>
  <bookViews>
    <workbookView xWindow="-108" yWindow="-108" windowWidth="23256" windowHeight="12456" activeTab="2" xr2:uid="{A2BC87D4-7675-478E-AF22-B5BB65A8D1C7}"/>
  </bookViews>
  <sheets>
    <sheet name="Ques1" sheetId="1" r:id="rId1"/>
    <sheet name="Sheet1" sheetId="6" r:id="rId2"/>
    <sheet name="Hlookup Questions" sheetId="5" r:id="rId3"/>
    <sheet name="Vlookup+pivot table" sheetId="4" r:id="rId4"/>
  </sheets>
  <definedNames>
    <definedName name="_xlnm._FilterDatabase" localSheetId="0" hidden="1">Ques1!$A$1:$J$201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5" l="1"/>
  <c r="M22" i="6"/>
  <c r="L3" i="6"/>
  <c r="F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" i="6"/>
  <c r="N17" i="6"/>
  <c r="N16" i="6"/>
  <c r="N15" i="6"/>
  <c r="L11" i="6"/>
  <c r="L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B49" i="5"/>
  <c r="GS6" i="5"/>
  <c r="GR6" i="5"/>
  <c r="GQ6" i="5"/>
  <c r="GP6" i="5"/>
  <c r="GO6" i="5"/>
  <c r="GN6" i="5"/>
  <c r="GM6" i="5"/>
  <c r="GL6" i="5"/>
  <c r="GK6" i="5"/>
  <c r="GJ6" i="5"/>
  <c r="GI6" i="5"/>
  <c r="GH6" i="5"/>
  <c r="GG6" i="5"/>
  <c r="GF6" i="5"/>
  <c r="GE6" i="5"/>
  <c r="GD6" i="5"/>
  <c r="GC6" i="5"/>
  <c r="GB6" i="5"/>
  <c r="GA6" i="5"/>
  <c r="FZ6" i="5"/>
  <c r="FY6" i="5"/>
  <c r="FX6" i="5"/>
  <c r="FW6" i="5"/>
  <c r="FV6" i="5"/>
  <c r="FU6" i="5"/>
  <c r="FT6" i="5"/>
  <c r="FS6" i="5"/>
  <c r="FR6" i="5"/>
  <c r="FQ6" i="5"/>
  <c r="FP6" i="5"/>
  <c r="FO6" i="5"/>
  <c r="FN6" i="5"/>
  <c r="FM6" i="5"/>
  <c r="FL6" i="5"/>
  <c r="FK6" i="5"/>
  <c r="FJ6" i="5"/>
  <c r="FI6" i="5"/>
  <c r="FH6" i="5"/>
  <c r="FG6" i="5"/>
  <c r="FF6" i="5"/>
  <c r="FE6" i="5"/>
  <c r="FD6" i="5"/>
  <c r="FC6" i="5"/>
  <c r="FB6" i="5"/>
  <c r="FA6" i="5"/>
  <c r="EZ6" i="5"/>
  <c r="EY6" i="5"/>
  <c r="EX6" i="5"/>
  <c r="EW6" i="5"/>
  <c r="EV6" i="5"/>
  <c r="EU6" i="5"/>
  <c r="ET6" i="5"/>
  <c r="ES6" i="5"/>
  <c r="ER6" i="5"/>
  <c r="EQ6" i="5"/>
  <c r="EP6" i="5"/>
  <c r="EO6" i="5"/>
  <c r="EN6" i="5"/>
  <c r="EM6" i="5"/>
  <c r="EL6" i="5"/>
  <c r="EK6" i="5"/>
  <c r="EJ6" i="5"/>
  <c r="EI6" i="5"/>
  <c r="EH6" i="5"/>
  <c r="EG6" i="5"/>
  <c r="EF6" i="5"/>
  <c r="EE6" i="5"/>
  <c r="ED6" i="5"/>
  <c r="EC6" i="5"/>
  <c r="EB6" i="5"/>
  <c r="EA6" i="5"/>
  <c r="DZ6" i="5"/>
  <c r="DY6" i="5"/>
  <c r="DX6" i="5"/>
  <c r="DW6" i="5"/>
  <c r="DV6" i="5"/>
  <c r="DU6" i="5"/>
  <c r="DT6" i="5"/>
  <c r="DS6" i="5"/>
  <c r="DR6" i="5"/>
  <c r="DQ6" i="5"/>
  <c r="DP6" i="5"/>
  <c r="DO6" i="5"/>
  <c r="DN6" i="5"/>
  <c r="DM6" i="5"/>
  <c r="DL6" i="5"/>
  <c r="DK6" i="5"/>
  <c r="DJ6" i="5"/>
  <c r="DI6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" i="4"/>
  <c r="T2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W22" i="4"/>
</calcChain>
</file>

<file path=xl/sharedStrings.xml><?xml version="1.0" encoding="utf-8"?>
<sst xmlns="http://schemas.openxmlformats.org/spreadsheetml/2006/main" count="1193" uniqueCount="192">
  <si>
    <t>CustomerID</t>
  </si>
  <si>
    <t>Genre</t>
  </si>
  <si>
    <t>Age</t>
  </si>
  <si>
    <t>Annual Income (k$)</t>
  </si>
  <si>
    <t>Spending Score (1-100)</t>
  </si>
  <si>
    <t>Male</t>
  </si>
  <si>
    <t>Q1</t>
  </si>
  <si>
    <t>Find the CustomerID for a female with an Annual Income of 54k$:</t>
  </si>
  <si>
    <t>Find the Spending Score for CustomerID 10:</t>
  </si>
  <si>
    <t>Female</t>
  </si>
  <si>
    <t>Find the Age for CustomerID 25:</t>
  </si>
  <si>
    <t>Using HLOOKUP, find the Genre of the customer in the transposed table where CustomerID is 30:</t>
  </si>
  <si>
    <t>Find the Spending Score for a male with an Age of 35:</t>
  </si>
  <si>
    <t>Q2</t>
  </si>
  <si>
    <t>Q3</t>
  </si>
  <si>
    <t>Q4</t>
  </si>
  <si>
    <t>Q5</t>
  </si>
  <si>
    <t>Q6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</si>
  <si>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</si>
  <si>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</si>
  <si>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</si>
  <si>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</si>
  <si>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</si>
  <si>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</si>
  <si>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</si>
  <si>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</si>
  <si>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</si>
  <si>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</si>
  <si>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</si>
  <si>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</si>
  <si>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</si>
  <si>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</si>
  <si>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</si>
  <si>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</si>
  <si>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</si>
  <si>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</si>
  <si>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</si>
  <si>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</si>
  <si>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</si>
  <si>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</si>
  <si>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</si>
  <si>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</si>
  <si>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</si>
  <si>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</si>
  <si>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</si>
  <si>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</si>
  <si>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</si>
  <si>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</si>
  <si>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</si>
  <si>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</si>
  <si>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</si>
  <si>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</si>
  <si>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</si>
  <si>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</si>
  <si>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</si>
  <si>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CA-2015-106320</t>
  </si>
  <si>
    <t>Standard Class</t>
  </si>
  <si>
    <t>EB-13870</t>
  </si>
  <si>
    <t>Emily Burns</t>
  </si>
  <si>
    <t>Orem</t>
  </si>
  <si>
    <t>Utah</t>
  </si>
  <si>
    <t>West</t>
  </si>
  <si>
    <t>FUR-TA-10000577</t>
  </si>
  <si>
    <t>Tables</t>
  </si>
  <si>
    <t>Bretford CR4500 Series Slim Rectangular Table</t>
  </si>
  <si>
    <t>US-2015-108966</t>
  </si>
  <si>
    <t>SO-20335</t>
  </si>
  <si>
    <t>Sean O'Donnell</t>
  </si>
  <si>
    <t>Fort Lauderdale</t>
  </si>
  <si>
    <t>Florida</t>
  </si>
  <si>
    <t>OFF-ST-10000760</t>
  </si>
  <si>
    <t>Office Supplies</t>
  </si>
  <si>
    <t>Storage</t>
  </si>
  <si>
    <t>Eldon Fold 'N Roll Cart System</t>
  </si>
  <si>
    <t>CA-2014-115812</t>
  </si>
  <si>
    <t>BH-11710</t>
  </si>
  <si>
    <t>Brosina Hoffman</t>
  </si>
  <si>
    <t>Los Angeles</t>
  </si>
  <si>
    <t>California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</si>
  <si>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</si>
  <si>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</si>
  <si>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</si>
  <si>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</si>
  <si>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</si>
  <si>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</si>
  <si>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</si>
  <si>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</si>
  <si>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</si>
  <si>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</si>
  <si>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</si>
  <si>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</si>
  <si>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</si>
  <si>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</si>
  <si>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</si>
  <si>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</si>
  <si>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</si>
  <si>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</si>
  <si>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</si>
  <si>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</si>
  <si>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</si>
  <si>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</si>
  <si>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</si>
  <si>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</si>
  <si>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</si>
  <si>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</si>
  <si>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</si>
  <si>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</si>
  <si>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</si>
  <si>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</si>
  <si>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</si>
  <si>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</si>
  <si>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</si>
  <si>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</si>
  <si>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</si>
  <si>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</si>
  <si>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</si>
  <si>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</si>
  <si>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</si>
  <si>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</si>
  <si>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</si>
  <si>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</si>
  <si>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</si>
  <si>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CA-2014-143336</t>
  </si>
  <si>
    <t>ZD-21925</t>
  </si>
  <si>
    <t>Zuschuss Donatelli</t>
  </si>
  <si>
    <t>San Francisco</t>
  </si>
  <si>
    <t>OFF-BI-10002215</t>
  </si>
  <si>
    <t>Wilson Jones Hanging View Binder, White, 1"</t>
  </si>
  <si>
    <t>CA-2014-105893</t>
  </si>
  <si>
    <t>PK-19075</t>
  </si>
  <si>
    <t>Pete Kriz</t>
  </si>
  <si>
    <t>Madison</t>
  </si>
  <si>
    <t>Wisconsin</t>
  </si>
  <si>
    <t>Central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</si>
  <si>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</si>
  <si>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</si>
  <si>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</si>
  <si>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</si>
  <si>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</si>
  <si>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</si>
  <si>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</si>
  <si>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</si>
  <si>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</si>
  <si>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</si>
  <si>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</si>
  <si>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</si>
  <si>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Pivot table questions</t>
  </si>
  <si>
    <t>Sort the regions in descending order of total sales.</t>
  </si>
  <si>
    <t>TEXT(A1, "mmmm")</t>
  </si>
  <si>
    <t>To display full month name use this fn</t>
  </si>
  <si>
    <t>Displays the short form (e.g., "Jan").</t>
  </si>
  <si>
    <t>TEXT(A1, "mmm")</t>
  </si>
  <si>
    <t>Use VLOOKUP to find the Sub-Category for the product with the Product ID "FUR-BO-10001798</t>
  </si>
  <si>
    <t>Create a helper column to combine Order ID and Product ID, and use VLOOKUP to find the Profit for the combination of "CA-2016-152156" and "FUR-CH-10000454</t>
  </si>
  <si>
    <t>Use VLOOKUP to retrieve the Profit for a product only if the Quantity is greater than 5.</t>
  </si>
  <si>
    <t>Create a Pivot Table to show the total Sales for each Region.</t>
  </si>
  <si>
    <t>Create a Pivot Table to display the total Profit for each Customer Name.</t>
  </si>
  <si>
    <t>Create a Pivot Table to calculate the total Quantity Sold for each Ship Mode (e.g., Standard Class, Second Class).</t>
  </si>
  <si>
    <t>Create a Pivot Table to display total Sales for each Month (based on Order Date).</t>
  </si>
  <si>
    <t>Extract Month name from Order date</t>
  </si>
  <si>
    <t>ans====&gt;</t>
  </si>
  <si>
    <t>Helper column-orderid+prdid)</t>
  </si>
  <si>
    <t>Q3step1</t>
  </si>
  <si>
    <t>Ans==</t>
  </si>
  <si>
    <t>Syntax of if(logical test,value if true,value if not true)</t>
  </si>
  <si>
    <t>Syntax of vlookup(lookupvalue,table array,value to be find,0)</t>
  </si>
  <si>
    <t>Month</t>
  </si>
  <si>
    <t xml:space="preserve">step 1 </t>
  </si>
  <si>
    <t>create a column(concat(Female,54)</t>
  </si>
  <si>
    <t>Given(lookup value): Female,Annual income=54k</t>
  </si>
  <si>
    <t>concat</t>
  </si>
  <si>
    <t>Find the CustomerID for  Annual Income of 54k$:</t>
  </si>
  <si>
    <t>Find the CustomerID ,Gender,Speding scorefor  Annual Income of 54k$:</t>
  </si>
  <si>
    <t>cust id</t>
  </si>
  <si>
    <t>Gender</t>
  </si>
  <si>
    <t>Spending score</t>
  </si>
  <si>
    <t>Find the CustomerID ,Gender, Age for  Annual Income of 54k$:</t>
  </si>
  <si>
    <t>Find the CustomerID,Age,Annual income of the person who has a Spending Score of 85:</t>
  </si>
  <si>
    <t>Using HLOOKUP, find the Genre,Age,Annul incm of the customer in the transposed table where CustomerID is 30:</t>
  </si>
  <si>
    <t>Annula incm</t>
  </si>
  <si>
    <t>Find Gender for cust id=30</t>
  </si>
  <si>
    <t>Female54</t>
  </si>
  <si>
    <t>Male35</t>
  </si>
  <si>
    <t>Gender and Age (concat )</t>
  </si>
  <si>
    <t>Annual income</t>
  </si>
  <si>
    <t>Customer id</t>
  </si>
  <si>
    <t>Gender and Annual income (concat )</t>
  </si>
  <si>
    <t>Q1. Find the CustomerID for a female with an Annual Income of 54k$:</t>
  </si>
  <si>
    <t>Q2.Find the Spending Score for CustomerID 10:</t>
  </si>
  <si>
    <t>Q3. Find the Age for CustomerID 25:</t>
  </si>
  <si>
    <t>Q4. Find the CustomerID,Age,Annual income of the person who has a Spending Score of 85:</t>
  </si>
  <si>
    <t>Q6.Find the Spending Score for a male with an Age of 35: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</si>
</sst>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4" xfId="0" applyBorder="1"/>
    <xf numFmtId="0" fontId="1" fillId="2" borderId="0" xfId="0" applyFont="1" applyFill="1"/>
    <xf numFmtId="0" fontId="0" fillId="4" borderId="0" xfId="0" applyFill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2763AEA5-8934-4938-9C55-9EC31B514E8D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kQ_HmdbMtXTyS0lY9ce3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951B375-1509-4A94-9D18-C60C8EC3D9B4}">
  <we:reference id="wa200001584" version="2.8.1.5" store="en-US" storeType="OMEX"/>
  <we:alternateReferences>
    <we:reference id="WA200001584" version="2.8.1.5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CC3DAB86-A2A4-4C59-9497-9437EC6229C9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53A0-F99B-448A-A88C-1C1C7AB34ABB}">
  <dimension ref="A1:M201"/>
  <sheetViews>
    <sheetView zoomScale="96" zoomScaleNormal="124" workbookViewId="0">
      <selection activeCell="L7" sqref="L7"/>
    </sheetView>
  </sheetViews>
  <sheetFormatPr defaultRowHeight="14.4" x14ac:dyDescent="0.3"/>
  <cols>
    <col min="1" max="1" width="19.6640625" bestFit="1" customWidth="1"/>
    <col min="2" max="2" width="9.44140625" customWidth="1"/>
    <col min="3" max="3" width="10.6640625" bestFit="1" customWidth="1"/>
    <col min="4" max="4" width="13.109375" customWidth="1"/>
    <col min="5" max="5" width="23.77734375" customWidth="1"/>
    <col min="6" max="6" width="14" customWidth="1"/>
    <col min="7" max="7" width="15.88671875" bestFit="1" customWidth="1"/>
    <col min="8" max="8" width="12.77734375" bestFit="1" customWidth="1"/>
    <col min="9" max="9" width="7" bestFit="1" customWidth="1"/>
    <col min="15" max="15" width="3.33203125" bestFit="1" customWidth="1"/>
    <col min="16" max="16" width="13.21875" customWidth="1"/>
  </cols>
  <sheetData>
    <row r="1" spans="1:13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13" x14ac:dyDescent="0.3">
      <c r="A2" s="14">
        <v>1</v>
      </c>
      <c r="B2" s="14" t="s">
        <v>5</v>
      </c>
      <c r="C2" s="14">
        <v>19</v>
      </c>
      <c r="D2" s="14">
        <v>15</v>
      </c>
      <c r="E2" s="14">
        <v>39</v>
      </c>
      <c r="F2" s="12" t="s">
        <v>6</v>
      </c>
      <c r="G2" s="12" t="s">
        <v>7</v>
      </c>
      <c r="H2" s="12"/>
      <c r="I2" s="12"/>
      <c r="J2" s="12"/>
      <c r="M2" t="s">
        <v>181</v>
      </c>
    </row>
    <row r="3" spans="1:13" x14ac:dyDescent="0.3">
      <c r="A3" s="14">
        <v>2</v>
      </c>
      <c r="B3" s="14" t="s">
        <v>5</v>
      </c>
      <c r="C3" s="14">
        <v>21</v>
      </c>
      <c r="D3" s="14">
        <v>15</v>
      </c>
      <c r="E3" s="14">
        <v>81</v>
      </c>
      <c r="F3" s="12" t="s">
        <v>13</v>
      </c>
      <c r="G3" s="12" t="s">
        <v>8</v>
      </c>
      <c r="H3" s="12"/>
      <c r="I3" s="12"/>
      <c r="J3" s="12"/>
    </row>
    <row r="4" spans="1:13" x14ac:dyDescent="0.3">
      <c r="A4" s="14">
        <v>3</v>
      </c>
      <c r="B4" s="14" t="s">
        <v>9</v>
      </c>
      <c r="C4" s="14">
        <v>20</v>
      </c>
      <c r="D4" s="14">
        <v>16</v>
      </c>
      <c r="E4" s="14">
        <v>6</v>
      </c>
      <c r="F4" s="12" t="s">
        <v>14</v>
      </c>
      <c r="G4" s="12" t="s">
        <v>10</v>
      </c>
      <c r="H4" s="12"/>
      <c r="I4" s="12"/>
      <c r="J4" s="12"/>
    </row>
    <row r="5" spans="1:13" x14ac:dyDescent="0.3">
      <c r="A5" s="14">
        <v>4</v>
      </c>
      <c r="B5" s="14" t="s">
        <v>9</v>
      </c>
      <c r="C5" s="14">
        <v>23</v>
      </c>
      <c r="D5" s="14">
        <v>16</v>
      </c>
      <c r="E5" s="14">
        <v>77</v>
      </c>
      <c r="F5" s="12" t="s">
        <v>15</v>
      </c>
      <c r="G5" s="12" t="s">
        <v>177</v>
      </c>
      <c r="H5" s="12"/>
      <c r="I5" s="12"/>
      <c r="J5" s="12"/>
    </row>
    <row r="6" spans="1:13" x14ac:dyDescent="0.3">
      <c r="A6" s="14">
        <v>5</v>
      </c>
      <c r="B6" s="14" t="s">
        <v>9</v>
      </c>
      <c r="C6" s="14">
        <v>31</v>
      </c>
      <c r="D6" s="14">
        <v>17</v>
      </c>
      <c r="E6" s="14">
        <v>40</v>
      </c>
      <c r="F6" s="12" t="s">
        <v>16</v>
      </c>
      <c r="G6" s="12" t="s">
        <v>11</v>
      </c>
      <c r="H6" s="12"/>
      <c r="I6" s="12"/>
      <c r="J6" s="12"/>
    </row>
    <row r="7" spans="1:13" x14ac:dyDescent="0.3">
      <c r="A7" s="14">
        <v>6</v>
      </c>
      <c r="B7" s="14" t="s">
        <v>9</v>
      </c>
      <c r="C7" s="14">
        <v>22</v>
      </c>
      <c r="D7" s="14">
        <v>17</v>
      </c>
      <c r="E7" s="14">
        <v>76</v>
      </c>
      <c r="F7" s="12" t="s">
        <v>17</v>
      </c>
      <c r="G7" s="12" t="s">
        <v>12</v>
      </c>
      <c r="H7" s="12"/>
      <c r="I7" s="12"/>
      <c r="J7" s="12"/>
      <c r="L7" t="s">
        <v>182</v>
      </c>
    </row>
    <row r="8" spans="1:13" x14ac:dyDescent="0.3">
      <c r="A8" s="14">
        <v>7</v>
      </c>
      <c r="B8" s="14" t="s">
        <v>9</v>
      </c>
      <c r="C8" s="14">
        <v>35</v>
      </c>
      <c r="D8" s="14">
        <v>18</v>
      </c>
      <c r="E8" s="14">
        <v>6</v>
      </c>
    </row>
    <row r="9" spans="1:13" x14ac:dyDescent="0.3">
      <c r="A9" s="14">
        <v>8</v>
      </c>
      <c r="B9" s="14" t="s">
        <v>9</v>
      </c>
      <c r="C9" s="14">
        <v>23</v>
      </c>
      <c r="D9" s="14">
        <v>18</v>
      </c>
      <c r="E9" s="14">
        <v>94</v>
      </c>
    </row>
    <row r="10" spans="1:13" x14ac:dyDescent="0.3">
      <c r="A10" s="14">
        <v>9</v>
      </c>
      <c r="B10" s="14" t="s">
        <v>5</v>
      </c>
      <c r="C10" s="14">
        <v>64</v>
      </c>
      <c r="D10" s="14">
        <v>19</v>
      </c>
      <c r="E10" s="14">
        <v>3</v>
      </c>
      <c r="F10" s="12"/>
      <c r="G10" s="12"/>
    </row>
    <row r="11" spans="1:13" x14ac:dyDescent="0.3">
      <c r="A11" s="14">
        <v>10</v>
      </c>
      <c r="B11" s="14" t="s">
        <v>9</v>
      </c>
      <c r="C11" s="14">
        <v>30</v>
      </c>
      <c r="D11" s="14">
        <v>19</v>
      </c>
      <c r="E11" s="14">
        <v>72</v>
      </c>
      <c r="F11" t="s">
        <v>6</v>
      </c>
      <c r="G11" t="s">
        <v>169</v>
      </c>
    </row>
    <row r="12" spans="1:13" x14ac:dyDescent="0.3">
      <c r="A12" s="14">
        <v>11</v>
      </c>
      <c r="B12" s="14" t="s">
        <v>5</v>
      </c>
      <c r="C12" s="14">
        <v>67</v>
      </c>
      <c r="D12" s="14">
        <v>19</v>
      </c>
      <c r="E12" s="14">
        <v>14</v>
      </c>
      <c r="F12" t="s">
        <v>167</v>
      </c>
      <c r="G12" t="s">
        <v>168</v>
      </c>
    </row>
    <row r="13" spans="1:13" x14ac:dyDescent="0.3">
      <c r="A13" s="14">
        <v>12</v>
      </c>
      <c r="B13" s="14" t="s">
        <v>9</v>
      </c>
      <c r="C13" s="14">
        <v>35</v>
      </c>
      <c r="D13" s="14">
        <v>19</v>
      </c>
      <c r="E13" s="14">
        <v>99</v>
      </c>
    </row>
    <row r="14" spans="1:13" x14ac:dyDescent="0.3">
      <c r="A14" s="14">
        <v>13</v>
      </c>
      <c r="B14" s="14" t="s">
        <v>9</v>
      </c>
      <c r="C14" s="14">
        <v>58</v>
      </c>
      <c r="D14" s="14">
        <v>20</v>
      </c>
      <c r="E14" s="14">
        <v>15</v>
      </c>
      <c r="F14" s="12" t="s">
        <v>13</v>
      </c>
      <c r="G14" s="12" t="s">
        <v>171</v>
      </c>
    </row>
    <row r="15" spans="1:13" x14ac:dyDescent="0.3">
      <c r="A15" s="14">
        <v>14</v>
      </c>
      <c r="B15" s="14" t="s">
        <v>9</v>
      </c>
      <c r="C15" s="14">
        <v>24</v>
      </c>
      <c r="D15" s="14">
        <v>20</v>
      </c>
      <c r="E15" s="14">
        <v>77</v>
      </c>
      <c r="G15" s="12"/>
      <c r="H15" s="12"/>
      <c r="I15" s="12"/>
      <c r="J15" s="12"/>
      <c r="K15" s="12"/>
      <c r="L15" s="12"/>
    </row>
    <row r="16" spans="1:13" x14ac:dyDescent="0.3">
      <c r="A16" s="14">
        <v>15</v>
      </c>
      <c r="B16" s="14" t="s">
        <v>5</v>
      </c>
      <c r="C16" s="14">
        <v>37</v>
      </c>
      <c r="D16" s="14">
        <v>20</v>
      </c>
      <c r="E16" s="14">
        <v>13</v>
      </c>
    </row>
    <row r="17" spans="1:7" x14ac:dyDescent="0.3">
      <c r="A17" s="14">
        <v>16</v>
      </c>
      <c r="B17" s="14" t="s">
        <v>5</v>
      </c>
      <c r="C17" s="14">
        <v>22</v>
      </c>
      <c r="D17" s="14">
        <v>20</v>
      </c>
      <c r="E17" s="14">
        <v>79</v>
      </c>
      <c r="F17" s="12" t="s">
        <v>14</v>
      </c>
      <c r="G17" s="12" t="s">
        <v>172</v>
      </c>
    </row>
    <row r="18" spans="1:7" x14ac:dyDescent="0.3">
      <c r="A18" s="14">
        <v>17</v>
      </c>
      <c r="B18" s="14" t="s">
        <v>9</v>
      </c>
      <c r="C18" s="14">
        <v>35</v>
      </c>
      <c r="D18" s="14">
        <v>21</v>
      </c>
      <c r="E18" s="14">
        <v>35</v>
      </c>
      <c r="F18" t="s">
        <v>173</v>
      </c>
    </row>
    <row r="19" spans="1:7" x14ac:dyDescent="0.3">
      <c r="A19" s="14">
        <v>18</v>
      </c>
      <c r="B19" s="14" t="s">
        <v>5</v>
      </c>
      <c r="C19" s="14">
        <v>20</v>
      </c>
      <c r="D19" s="14">
        <v>21</v>
      </c>
      <c r="E19" s="14">
        <v>66</v>
      </c>
      <c r="F19" t="s">
        <v>174</v>
      </c>
    </row>
    <row r="20" spans="1:7" x14ac:dyDescent="0.3">
      <c r="A20" s="14">
        <v>19</v>
      </c>
      <c r="B20" s="14" t="s">
        <v>5</v>
      </c>
      <c r="C20" s="14">
        <v>52</v>
      </c>
      <c r="D20" s="14">
        <v>23</v>
      </c>
      <c r="E20" s="14">
        <v>29</v>
      </c>
      <c r="F20" t="s">
        <v>175</v>
      </c>
    </row>
    <row r="21" spans="1:7" x14ac:dyDescent="0.3">
      <c r="A21" s="14">
        <v>20</v>
      </c>
      <c r="B21" s="14" t="s">
        <v>9</v>
      </c>
      <c r="C21" s="14">
        <v>35</v>
      </c>
      <c r="D21" s="14">
        <v>23</v>
      </c>
      <c r="E21" s="14">
        <v>98</v>
      </c>
    </row>
    <row r="22" spans="1:7" x14ac:dyDescent="0.3">
      <c r="A22" s="14">
        <v>21</v>
      </c>
      <c r="B22" s="14" t="s">
        <v>5</v>
      </c>
      <c r="C22" s="14">
        <v>35</v>
      </c>
      <c r="D22" s="14">
        <v>24</v>
      </c>
      <c r="E22" s="14">
        <v>300</v>
      </c>
    </row>
    <row r="23" spans="1:7" x14ac:dyDescent="0.3">
      <c r="A23" s="14">
        <v>22</v>
      </c>
      <c r="B23" s="14" t="s">
        <v>5</v>
      </c>
      <c r="C23" s="14">
        <v>25</v>
      </c>
      <c r="D23" s="14">
        <v>24</v>
      </c>
      <c r="E23" s="14">
        <v>73</v>
      </c>
      <c r="F23" s="12" t="s">
        <v>14</v>
      </c>
      <c r="G23" s="12" t="s">
        <v>176</v>
      </c>
    </row>
    <row r="24" spans="1:7" x14ac:dyDescent="0.3">
      <c r="A24" s="14">
        <v>23</v>
      </c>
      <c r="B24" s="14" t="s">
        <v>9</v>
      </c>
      <c r="C24" s="14">
        <v>46</v>
      </c>
      <c r="D24" s="14">
        <v>25</v>
      </c>
      <c r="E24" s="14">
        <v>5</v>
      </c>
    </row>
    <row r="25" spans="1:7" x14ac:dyDescent="0.3">
      <c r="A25" s="14">
        <v>24</v>
      </c>
      <c r="B25" s="14" t="s">
        <v>5</v>
      </c>
      <c r="C25" s="14">
        <v>31</v>
      </c>
      <c r="D25" s="14">
        <v>25</v>
      </c>
      <c r="E25" s="14">
        <v>73</v>
      </c>
    </row>
    <row r="26" spans="1:7" x14ac:dyDescent="0.3">
      <c r="A26" s="14">
        <v>25</v>
      </c>
      <c r="B26" s="14" t="s">
        <v>9</v>
      </c>
      <c r="C26" s="14">
        <v>54</v>
      </c>
      <c r="D26" s="14">
        <v>28</v>
      </c>
      <c r="E26" s="14">
        <v>14</v>
      </c>
    </row>
    <row r="27" spans="1:7" x14ac:dyDescent="0.3">
      <c r="A27" s="14">
        <v>26</v>
      </c>
      <c r="B27" s="14" t="s">
        <v>5</v>
      </c>
      <c r="C27" s="14">
        <v>29</v>
      </c>
      <c r="D27" s="14">
        <v>28</v>
      </c>
      <c r="E27" s="14">
        <v>82</v>
      </c>
    </row>
    <row r="28" spans="1:7" x14ac:dyDescent="0.3">
      <c r="A28" s="14">
        <v>27</v>
      </c>
      <c r="B28" s="14" t="s">
        <v>9</v>
      </c>
      <c r="C28" s="14">
        <v>45</v>
      </c>
      <c r="D28" s="14">
        <v>28</v>
      </c>
      <c r="E28" s="14">
        <v>32</v>
      </c>
    </row>
    <row r="29" spans="1:7" x14ac:dyDescent="0.3">
      <c r="A29" s="14">
        <v>28</v>
      </c>
      <c r="B29" s="14" t="s">
        <v>5</v>
      </c>
      <c r="C29" s="14">
        <v>35</v>
      </c>
      <c r="D29" s="14">
        <v>28</v>
      </c>
      <c r="E29" s="14">
        <v>61</v>
      </c>
    </row>
    <row r="30" spans="1:7" x14ac:dyDescent="0.3">
      <c r="A30" s="14">
        <v>29</v>
      </c>
      <c r="B30" s="14" t="s">
        <v>9</v>
      </c>
      <c r="C30" s="14">
        <v>40</v>
      </c>
      <c r="D30" s="14">
        <v>29</v>
      </c>
      <c r="E30" s="14">
        <v>31</v>
      </c>
    </row>
    <row r="31" spans="1:7" x14ac:dyDescent="0.3">
      <c r="A31" s="14">
        <v>30</v>
      </c>
      <c r="B31" s="14" t="s">
        <v>9</v>
      </c>
      <c r="C31" s="14">
        <v>23</v>
      </c>
      <c r="D31" s="14">
        <v>29</v>
      </c>
      <c r="E31" s="14">
        <v>87</v>
      </c>
    </row>
    <row r="32" spans="1:7" x14ac:dyDescent="0.3">
      <c r="A32" s="14">
        <v>31</v>
      </c>
      <c r="B32" s="14" t="s">
        <v>5</v>
      </c>
      <c r="C32" s="14">
        <v>60</v>
      </c>
      <c r="D32" s="14">
        <v>30</v>
      </c>
      <c r="E32" s="14">
        <v>4</v>
      </c>
    </row>
    <row r="33" spans="1:6" x14ac:dyDescent="0.3">
      <c r="A33" s="14">
        <v>32</v>
      </c>
      <c r="B33" s="14" t="s">
        <v>9</v>
      </c>
      <c r="C33" s="14">
        <v>21</v>
      </c>
      <c r="D33" s="14">
        <v>30</v>
      </c>
      <c r="E33" s="14">
        <v>73</v>
      </c>
    </row>
    <row r="34" spans="1:6" x14ac:dyDescent="0.3">
      <c r="A34" s="14">
        <v>33</v>
      </c>
      <c r="B34" s="14" t="s">
        <v>5</v>
      </c>
      <c r="C34" s="14">
        <v>53</v>
      </c>
      <c r="D34" s="14">
        <v>33</v>
      </c>
      <c r="E34" s="14">
        <v>4</v>
      </c>
    </row>
    <row r="35" spans="1:6" x14ac:dyDescent="0.3">
      <c r="A35" s="14">
        <v>34</v>
      </c>
      <c r="B35" s="14" t="s">
        <v>5</v>
      </c>
      <c r="C35" s="14">
        <v>18</v>
      </c>
      <c r="D35" s="14">
        <v>33</v>
      </c>
      <c r="E35" s="14">
        <v>92</v>
      </c>
    </row>
    <row r="36" spans="1:6" x14ac:dyDescent="0.3">
      <c r="A36" s="14">
        <v>35</v>
      </c>
      <c r="B36" s="14" t="s">
        <v>9</v>
      </c>
      <c r="C36" s="14">
        <v>49</v>
      </c>
      <c r="D36" s="14">
        <v>33</v>
      </c>
      <c r="E36" s="14">
        <v>14</v>
      </c>
      <c r="F36" s="12"/>
    </row>
    <row r="37" spans="1:6" x14ac:dyDescent="0.3">
      <c r="A37" s="14">
        <v>36</v>
      </c>
      <c r="B37" s="14" t="s">
        <v>9</v>
      </c>
      <c r="C37" s="14">
        <v>21</v>
      </c>
      <c r="D37" s="14">
        <v>33</v>
      </c>
      <c r="E37" s="14">
        <v>81</v>
      </c>
    </row>
    <row r="38" spans="1:6" x14ac:dyDescent="0.3">
      <c r="A38" s="14">
        <v>37</v>
      </c>
      <c r="B38" s="14" t="s">
        <v>9</v>
      </c>
      <c r="C38" s="14">
        <v>42</v>
      </c>
      <c r="D38" s="14">
        <v>34</v>
      </c>
      <c r="E38" s="14">
        <v>17</v>
      </c>
    </row>
    <row r="39" spans="1:6" x14ac:dyDescent="0.3">
      <c r="A39" s="14">
        <v>38</v>
      </c>
      <c r="B39" s="14" t="s">
        <v>9</v>
      </c>
      <c r="C39" s="14">
        <v>30</v>
      </c>
      <c r="D39" s="14">
        <v>34</v>
      </c>
      <c r="E39" s="14">
        <v>73</v>
      </c>
    </row>
    <row r="40" spans="1:6" x14ac:dyDescent="0.3">
      <c r="A40" s="14">
        <v>39</v>
      </c>
      <c r="B40" s="14" t="s">
        <v>9</v>
      </c>
      <c r="C40" s="14">
        <v>36</v>
      </c>
      <c r="D40" s="14">
        <v>37</v>
      </c>
      <c r="E40" s="14">
        <v>26</v>
      </c>
    </row>
    <row r="41" spans="1:6" x14ac:dyDescent="0.3">
      <c r="A41" s="14">
        <v>40</v>
      </c>
      <c r="B41" s="14" t="s">
        <v>9</v>
      </c>
      <c r="C41" s="14">
        <v>20</v>
      </c>
      <c r="D41" s="14">
        <v>37</v>
      </c>
      <c r="E41" s="14">
        <v>75</v>
      </c>
    </row>
    <row r="42" spans="1:6" x14ac:dyDescent="0.3">
      <c r="A42" s="14">
        <v>41</v>
      </c>
      <c r="B42" s="14" t="s">
        <v>9</v>
      </c>
      <c r="C42" s="14">
        <v>65</v>
      </c>
      <c r="D42" s="14">
        <v>38</v>
      </c>
      <c r="E42" s="14">
        <v>35</v>
      </c>
    </row>
    <row r="43" spans="1:6" x14ac:dyDescent="0.3">
      <c r="A43" s="14">
        <v>42</v>
      </c>
      <c r="B43" s="14" t="s">
        <v>5</v>
      </c>
      <c r="C43" s="14">
        <v>24</v>
      </c>
      <c r="D43" s="14">
        <v>38</v>
      </c>
      <c r="E43" s="14">
        <v>92</v>
      </c>
    </row>
    <row r="44" spans="1:6" x14ac:dyDescent="0.3">
      <c r="A44" s="14">
        <v>43</v>
      </c>
      <c r="B44" s="14" t="s">
        <v>5</v>
      </c>
      <c r="C44" s="14">
        <v>48</v>
      </c>
      <c r="D44" s="14">
        <v>39</v>
      </c>
      <c r="E44" s="14">
        <v>36</v>
      </c>
    </row>
    <row r="45" spans="1:6" x14ac:dyDescent="0.3">
      <c r="A45" s="14">
        <v>44</v>
      </c>
      <c r="B45" s="14" t="s">
        <v>9</v>
      </c>
      <c r="C45" s="14">
        <v>31</v>
      </c>
      <c r="D45" s="14">
        <v>39</v>
      </c>
      <c r="E45" s="14">
        <v>61</v>
      </c>
    </row>
    <row r="46" spans="1:6" x14ac:dyDescent="0.3">
      <c r="A46" s="14">
        <v>45</v>
      </c>
      <c r="B46" s="14" t="s">
        <v>9</v>
      </c>
      <c r="C46" s="14">
        <v>49</v>
      </c>
      <c r="D46" s="14">
        <v>39</v>
      </c>
      <c r="E46" s="14">
        <v>28</v>
      </c>
    </row>
    <row r="47" spans="1:6" x14ac:dyDescent="0.3">
      <c r="A47" s="14">
        <v>46</v>
      </c>
      <c r="B47" s="14" t="s">
        <v>9</v>
      </c>
      <c r="C47" s="14">
        <v>24</v>
      </c>
      <c r="D47" s="14">
        <v>39</v>
      </c>
      <c r="E47" s="14">
        <v>65</v>
      </c>
    </row>
    <row r="48" spans="1:6" x14ac:dyDescent="0.3">
      <c r="A48" s="14">
        <v>47</v>
      </c>
      <c r="B48" s="14" t="s">
        <v>9</v>
      </c>
      <c r="C48" s="14">
        <v>50</v>
      </c>
      <c r="D48" s="14">
        <v>40</v>
      </c>
      <c r="E48" s="14">
        <v>55</v>
      </c>
    </row>
    <row r="49" spans="1:5" x14ac:dyDescent="0.3">
      <c r="A49" s="14">
        <v>48</v>
      </c>
      <c r="B49" s="14" t="s">
        <v>9</v>
      </c>
      <c r="C49" s="14">
        <v>27</v>
      </c>
      <c r="D49" s="14">
        <v>40</v>
      </c>
      <c r="E49" s="14">
        <v>47</v>
      </c>
    </row>
    <row r="50" spans="1:5" x14ac:dyDescent="0.3">
      <c r="A50" s="14">
        <v>49</v>
      </c>
      <c r="B50" s="14" t="s">
        <v>9</v>
      </c>
      <c r="C50" s="14">
        <v>29</v>
      </c>
      <c r="D50" s="14">
        <v>40</v>
      </c>
      <c r="E50" s="14">
        <v>42</v>
      </c>
    </row>
    <row r="51" spans="1:5" x14ac:dyDescent="0.3">
      <c r="A51" s="14">
        <v>50</v>
      </c>
      <c r="B51" s="14" t="s">
        <v>9</v>
      </c>
      <c r="C51" s="14">
        <v>31</v>
      </c>
      <c r="D51" s="14">
        <v>40</v>
      </c>
      <c r="E51" s="14">
        <v>42</v>
      </c>
    </row>
    <row r="52" spans="1:5" x14ac:dyDescent="0.3">
      <c r="A52" s="14">
        <v>51</v>
      </c>
      <c r="B52" s="14" t="s">
        <v>9</v>
      </c>
      <c r="C52" s="14">
        <v>49</v>
      </c>
      <c r="D52" s="14">
        <v>42</v>
      </c>
      <c r="E52" s="14">
        <v>52</v>
      </c>
    </row>
    <row r="53" spans="1:5" x14ac:dyDescent="0.3">
      <c r="A53" s="14">
        <v>52</v>
      </c>
      <c r="B53" s="14" t="s">
        <v>5</v>
      </c>
      <c r="C53" s="14">
        <v>33</v>
      </c>
      <c r="D53" s="14">
        <v>42</v>
      </c>
      <c r="E53" s="14">
        <v>60</v>
      </c>
    </row>
    <row r="54" spans="1:5" x14ac:dyDescent="0.3">
      <c r="A54" s="14">
        <v>53</v>
      </c>
      <c r="B54" s="14" t="s">
        <v>9</v>
      </c>
      <c r="C54" s="14">
        <v>31</v>
      </c>
      <c r="D54" s="14">
        <v>43</v>
      </c>
      <c r="E54" s="14">
        <v>54</v>
      </c>
    </row>
    <row r="55" spans="1:5" x14ac:dyDescent="0.3">
      <c r="A55" s="14">
        <v>54</v>
      </c>
      <c r="B55" s="14" t="s">
        <v>5</v>
      </c>
      <c r="C55" s="14">
        <v>59</v>
      </c>
      <c r="D55" s="14">
        <v>43</v>
      </c>
      <c r="E55" s="14">
        <v>60</v>
      </c>
    </row>
    <row r="56" spans="1:5" x14ac:dyDescent="0.3">
      <c r="A56" s="14">
        <v>55</v>
      </c>
      <c r="B56" s="14" t="s">
        <v>9</v>
      </c>
      <c r="C56" s="14">
        <v>50</v>
      </c>
      <c r="D56" s="14">
        <v>43</v>
      </c>
      <c r="E56" s="14">
        <v>45</v>
      </c>
    </row>
    <row r="57" spans="1:5" x14ac:dyDescent="0.3">
      <c r="A57" s="14">
        <v>56</v>
      </c>
      <c r="B57" s="14" t="s">
        <v>5</v>
      </c>
      <c r="C57" s="14">
        <v>47</v>
      </c>
      <c r="D57" s="14">
        <v>43</v>
      </c>
      <c r="E57" s="14">
        <v>41</v>
      </c>
    </row>
    <row r="58" spans="1:5" x14ac:dyDescent="0.3">
      <c r="A58" s="14">
        <v>57</v>
      </c>
      <c r="B58" s="14" t="s">
        <v>9</v>
      </c>
      <c r="C58" s="14">
        <v>51</v>
      </c>
      <c r="D58" s="14">
        <v>44</v>
      </c>
      <c r="E58" s="14">
        <v>50</v>
      </c>
    </row>
    <row r="59" spans="1:5" x14ac:dyDescent="0.3">
      <c r="A59" s="14">
        <v>58</v>
      </c>
      <c r="B59" s="14" t="s">
        <v>5</v>
      </c>
      <c r="C59" s="14">
        <v>69</v>
      </c>
      <c r="D59" s="14">
        <v>44</v>
      </c>
      <c r="E59" s="14">
        <v>46</v>
      </c>
    </row>
    <row r="60" spans="1:5" x14ac:dyDescent="0.3">
      <c r="A60" s="14">
        <v>59</v>
      </c>
      <c r="B60" s="14" t="s">
        <v>9</v>
      </c>
      <c r="C60" s="14">
        <v>27</v>
      </c>
      <c r="D60" s="14">
        <v>46</v>
      </c>
      <c r="E60" s="14">
        <v>51</v>
      </c>
    </row>
    <row r="61" spans="1:5" x14ac:dyDescent="0.3">
      <c r="A61" s="14">
        <v>60</v>
      </c>
      <c r="B61" s="14" t="s">
        <v>5</v>
      </c>
      <c r="C61" s="14">
        <v>53</v>
      </c>
      <c r="D61" s="14">
        <v>46</v>
      </c>
      <c r="E61" s="14">
        <v>46</v>
      </c>
    </row>
    <row r="62" spans="1:5" x14ac:dyDescent="0.3">
      <c r="A62" s="14">
        <v>61</v>
      </c>
      <c r="B62" s="14" t="s">
        <v>5</v>
      </c>
      <c r="C62" s="14">
        <v>70</v>
      </c>
      <c r="D62" s="14">
        <v>46</v>
      </c>
      <c r="E62" s="14">
        <v>56</v>
      </c>
    </row>
    <row r="63" spans="1:5" x14ac:dyDescent="0.3">
      <c r="A63" s="14">
        <v>62</v>
      </c>
      <c r="B63" s="14" t="s">
        <v>5</v>
      </c>
      <c r="C63" s="14">
        <v>19</v>
      </c>
      <c r="D63" s="14">
        <v>46</v>
      </c>
      <c r="E63" s="14">
        <v>55</v>
      </c>
    </row>
    <row r="64" spans="1:5" x14ac:dyDescent="0.3">
      <c r="A64" s="14">
        <v>63</v>
      </c>
      <c r="B64" s="14" t="s">
        <v>9</v>
      </c>
      <c r="C64" s="14">
        <v>67</v>
      </c>
      <c r="D64" s="14">
        <v>47</v>
      </c>
      <c r="E64" s="14">
        <v>52</v>
      </c>
    </row>
    <row r="65" spans="1:5" x14ac:dyDescent="0.3">
      <c r="A65" s="14">
        <v>64</v>
      </c>
      <c r="B65" s="14" t="s">
        <v>9</v>
      </c>
      <c r="C65" s="14">
        <v>54</v>
      </c>
      <c r="D65" s="14">
        <v>47</v>
      </c>
      <c r="E65" s="14">
        <v>59</v>
      </c>
    </row>
    <row r="66" spans="1:5" x14ac:dyDescent="0.3">
      <c r="A66" s="14">
        <v>65</v>
      </c>
      <c r="B66" s="14" t="s">
        <v>5</v>
      </c>
      <c r="C66" s="14">
        <v>63</v>
      </c>
      <c r="D66" s="14">
        <v>48</v>
      </c>
      <c r="E66" s="14">
        <v>51</v>
      </c>
    </row>
    <row r="67" spans="1:5" x14ac:dyDescent="0.3">
      <c r="A67" s="14">
        <v>66</v>
      </c>
      <c r="B67" s="14" t="s">
        <v>5</v>
      </c>
      <c r="C67" s="14">
        <v>18</v>
      </c>
      <c r="D67" s="14">
        <v>48</v>
      </c>
      <c r="E67" s="14">
        <v>59</v>
      </c>
    </row>
    <row r="68" spans="1:5" x14ac:dyDescent="0.3">
      <c r="A68" s="14">
        <v>67</v>
      </c>
      <c r="B68" s="14" t="s">
        <v>9</v>
      </c>
      <c r="C68" s="14">
        <v>43</v>
      </c>
      <c r="D68" s="14">
        <v>48</v>
      </c>
      <c r="E68" s="14">
        <v>50</v>
      </c>
    </row>
    <row r="69" spans="1:5" x14ac:dyDescent="0.3">
      <c r="A69" s="14">
        <v>68</v>
      </c>
      <c r="B69" s="14" t="s">
        <v>9</v>
      </c>
      <c r="C69" s="14">
        <v>68</v>
      </c>
      <c r="D69" s="14">
        <v>48</v>
      </c>
      <c r="E69" s="14">
        <v>48</v>
      </c>
    </row>
    <row r="70" spans="1:5" x14ac:dyDescent="0.3">
      <c r="A70" s="14">
        <v>69</v>
      </c>
      <c r="B70" s="14" t="s">
        <v>5</v>
      </c>
      <c r="C70" s="14">
        <v>19</v>
      </c>
      <c r="D70" s="14">
        <v>48</v>
      </c>
      <c r="E70" s="14">
        <v>59</v>
      </c>
    </row>
    <row r="71" spans="1:5" x14ac:dyDescent="0.3">
      <c r="A71" s="14">
        <v>70</v>
      </c>
      <c r="B71" s="14" t="s">
        <v>9</v>
      </c>
      <c r="C71" s="14">
        <v>32</v>
      </c>
      <c r="D71" s="14">
        <v>48</v>
      </c>
      <c r="E71" s="14">
        <v>47</v>
      </c>
    </row>
    <row r="72" spans="1:5" x14ac:dyDescent="0.3">
      <c r="A72" s="14">
        <v>71</v>
      </c>
      <c r="B72" s="14" t="s">
        <v>5</v>
      </c>
      <c r="C72" s="14">
        <v>70</v>
      </c>
      <c r="D72" s="14">
        <v>49</v>
      </c>
      <c r="E72" s="14">
        <v>55</v>
      </c>
    </row>
    <row r="73" spans="1:5" x14ac:dyDescent="0.3">
      <c r="A73" s="14">
        <v>72</v>
      </c>
      <c r="B73" s="14" t="s">
        <v>9</v>
      </c>
      <c r="C73" s="14">
        <v>47</v>
      </c>
      <c r="D73" s="14">
        <v>49</v>
      </c>
      <c r="E73" s="14">
        <v>42</v>
      </c>
    </row>
    <row r="74" spans="1:5" x14ac:dyDescent="0.3">
      <c r="A74" s="14">
        <v>73</v>
      </c>
      <c r="B74" s="14" t="s">
        <v>9</v>
      </c>
      <c r="C74" s="14">
        <v>60</v>
      </c>
      <c r="D74" s="14">
        <v>50</v>
      </c>
      <c r="E74" s="14">
        <v>49</v>
      </c>
    </row>
    <row r="75" spans="1:5" x14ac:dyDescent="0.3">
      <c r="A75" s="14">
        <v>74</v>
      </c>
      <c r="B75" s="14" t="s">
        <v>9</v>
      </c>
      <c r="C75" s="14">
        <v>60</v>
      </c>
      <c r="D75" s="14">
        <v>50</v>
      </c>
      <c r="E75" s="14">
        <v>56</v>
      </c>
    </row>
    <row r="76" spans="1:5" x14ac:dyDescent="0.3">
      <c r="A76" s="14">
        <v>75</v>
      </c>
      <c r="B76" s="14" t="s">
        <v>5</v>
      </c>
      <c r="C76" s="14">
        <v>59</v>
      </c>
      <c r="D76" s="14">
        <v>54</v>
      </c>
      <c r="E76" s="14">
        <v>47</v>
      </c>
    </row>
    <row r="77" spans="1:5" x14ac:dyDescent="0.3">
      <c r="A77" s="14">
        <v>76</v>
      </c>
      <c r="B77" s="14" t="s">
        <v>5</v>
      </c>
      <c r="C77" s="14">
        <v>26</v>
      </c>
      <c r="D77" s="14">
        <v>54</v>
      </c>
      <c r="E77" s="14">
        <v>54</v>
      </c>
    </row>
    <row r="78" spans="1:5" x14ac:dyDescent="0.3">
      <c r="A78" s="14">
        <v>77</v>
      </c>
      <c r="B78" s="14" t="s">
        <v>9</v>
      </c>
      <c r="C78" s="14">
        <v>45</v>
      </c>
      <c r="D78" s="14">
        <v>54</v>
      </c>
      <c r="E78" s="14">
        <v>53</v>
      </c>
    </row>
    <row r="79" spans="1:5" x14ac:dyDescent="0.3">
      <c r="A79" s="14">
        <v>78</v>
      </c>
      <c r="B79" s="14" t="s">
        <v>5</v>
      </c>
      <c r="C79" s="14">
        <v>40</v>
      </c>
      <c r="D79" s="14">
        <v>54</v>
      </c>
      <c r="E79" s="14">
        <v>48</v>
      </c>
    </row>
    <row r="80" spans="1:5" x14ac:dyDescent="0.3">
      <c r="A80" s="14">
        <v>79</v>
      </c>
      <c r="B80" s="14" t="s">
        <v>9</v>
      </c>
      <c r="C80" s="14">
        <v>23</v>
      </c>
      <c r="D80" s="14">
        <v>54</v>
      </c>
      <c r="E80" s="14">
        <v>52</v>
      </c>
    </row>
    <row r="81" spans="1:5" x14ac:dyDescent="0.3">
      <c r="A81" s="14">
        <v>80</v>
      </c>
      <c r="B81" s="14" t="s">
        <v>9</v>
      </c>
      <c r="C81" s="14">
        <v>49</v>
      </c>
      <c r="D81" s="14">
        <v>54</v>
      </c>
      <c r="E81" s="14">
        <v>42</v>
      </c>
    </row>
    <row r="82" spans="1:5" x14ac:dyDescent="0.3">
      <c r="A82" s="14">
        <v>81</v>
      </c>
      <c r="B82" s="14" t="s">
        <v>5</v>
      </c>
      <c r="C82" s="14">
        <v>57</v>
      </c>
      <c r="D82" s="14">
        <v>54</v>
      </c>
      <c r="E82" s="14">
        <v>51</v>
      </c>
    </row>
    <row r="83" spans="1:5" x14ac:dyDescent="0.3">
      <c r="A83" s="14">
        <v>82</v>
      </c>
      <c r="B83" s="14" t="s">
        <v>5</v>
      </c>
      <c r="C83" s="14">
        <v>38</v>
      </c>
      <c r="D83" s="14">
        <v>54</v>
      </c>
      <c r="E83" s="14">
        <v>55</v>
      </c>
    </row>
    <row r="84" spans="1:5" x14ac:dyDescent="0.3">
      <c r="A84" s="14">
        <v>83</v>
      </c>
      <c r="B84" s="14" t="s">
        <v>5</v>
      </c>
      <c r="C84" s="14">
        <v>67</v>
      </c>
      <c r="D84" s="14">
        <v>54</v>
      </c>
      <c r="E84" s="14">
        <v>41</v>
      </c>
    </row>
    <row r="85" spans="1:5" x14ac:dyDescent="0.3">
      <c r="A85" s="14">
        <v>84</v>
      </c>
      <c r="B85" s="14" t="s">
        <v>9</v>
      </c>
      <c r="C85" s="14">
        <v>46</v>
      </c>
      <c r="D85" s="14">
        <v>54</v>
      </c>
      <c r="E85" s="14">
        <v>44</v>
      </c>
    </row>
    <row r="86" spans="1:5" x14ac:dyDescent="0.3">
      <c r="A86" s="14">
        <v>85</v>
      </c>
      <c r="B86" s="14" t="s">
        <v>9</v>
      </c>
      <c r="C86" s="14">
        <v>21</v>
      </c>
      <c r="D86" s="14">
        <v>54</v>
      </c>
      <c r="E86" s="14">
        <v>57</v>
      </c>
    </row>
    <row r="87" spans="1:5" x14ac:dyDescent="0.3">
      <c r="A87" s="14">
        <v>86</v>
      </c>
      <c r="B87" s="14" t="s">
        <v>5</v>
      </c>
      <c r="C87" s="14">
        <v>48</v>
      </c>
      <c r="D87" s="14">
        <v>54</v>
      </c>
      <c r="E87" s="14">
        <v>46</v>
      </c>
    </row>
    <row r="88" spans="1:5" x14ac:dyDescent="0.3">
      <c r="A88" s="14">
        <v>87</v>
      </c>
      <c r="B88" s="14" t="s">
        <v>9</v>
      </c>
      <c r="C88" s="14">
        <v>55</v>
      </c>
      <c r="D88" s="14">
        <v>57</v>
      </c>
      <c r="E88" s="14">
        <v>58</v>
      </c>
    </row>
    <row r="89" spans="1:5" x14ac:dyDescent="0.3">
      <c r="A89" s="14">
        <v>88</v>
      </c>
      <c r="B89" s="14" t="s">
        <v>9</v>
      </c>
      <c r="C89" s="14">
        <v>22</v>
      </c>
      <c r="D89" s="14">
        <v>57</v>
      </c>
      <c r="E89" s="14">
        <v>55</v>
      </c>
    </row>
    <row r="90" spans="1:5" x14ac:dyDescent="0.3">
      <c r="A90" s="14">
        <v>89</v>
      </c>
      <c r="B90" s="14" t="s">
        <v>9</v>
      </c>
      <c r="C90" s="14">
        <v>34</v>
      </c>
      <c r="D90" s="14">
        <v>58</v>
      </c>
      <c r="E90" s="14">
        <v>60</v>
      </c>
    </row>
    <row r="91" spans="1:5" x14ac:dyDescent="0.3">
      <c r="A91" s="14">
        <v>90</v>
      </c>
      <c r="B91" s="14" t="s">
        <v>9</v>
      </c>
      <c r="C91" s="14">
        <v>50</v>
      </c>
      <c r="D91" s="14">
        <v>58</v>
      </c>
      <c r="E91" s="14">
        <v>46</v>
      </c>
    </row>
    <row r="92" spans="1:5" x14ac:dyDescent="0.3">
      <c r="A92" s="14">
        <v>91</v>
      </c>
      <c r="B92" s="14" t="s">
        <v>9</v>
      </c>
      <c r="C92" s="14">
        <v>68</v>
      </c>
      <c r="D92" s="14">
        <v>59</v>
      </c>
      <c r="E92" s="14">
        <v>55</v>
      </c>
    </row>
    <row r="93" spans="1:5" x14ac:dyDescent="0.3">
      <c r="A93" s="14">
        <v>92</v>
      </c>
      <c r="B93" s="14" t="s">
        <v>5</v>
      </c>
      <c r="C93" s="14">
        <v>18</v>
      </c>
      <c r="D93" s="14">
        <v>59</v>
      </c>
      <c r="E93" s="14">
        <v>41</v>
      </c>
    </row>
    <row r="94" spans="1:5" x14ac:dyDescent="0.3">
      <c r="A94" s="14">
        <v>93</v>
      </c>
      <c r="B94" s="14" t="s">
        <v>5</v>
      </c>
      <c r="C94" s="14">
        <v>48</v>
      </c>
      <c r="D94" s="14">
        <v>60</v>
      </c>
      <c r="E94" s="14">
        <v>49</v>
      </c>
    </row>
    <row r="95" spans="1:5" x14ac:dyDescent="0.3">
      <c r="A95" s="14">
        <v>94</v>
      </c>
      <c r="B95" s="14" t="s">
        <v>9</v>
      </c>
      <c r="C95" s="14">
        <v>40</v>
      </c>
      <c r="D95" s="14">
        <v>60</v>
      </c>
      <c r="E95" s="14">
        <v>40</v>
      </c>
    </row>
    <row r="96" spans="1:5" x14ac:dyDescent="0.3">
      <c r="A96" s="14">
        <v>95</v>
      </c>
      <c r="B96" s="14" t="s">
        <v>9</v>
      </c>
      <c r="C96" s="14">
        <v>32</v>
      </c>
      <c r="D96" s="14">
        <v>60</v>
      </c>
      <c r="E96" s="14">
        <v>42</v>
      </c>
    </row>
    <row r="97" spans="1:5" x14ac:dyDescent="0.3">
      <c r="A97" s="14">
        <v>96</v>
      </c>
      <c r="B97" s="14" t="s">
        <v>5</v>
      </c>
      <c r="C97" s="14">
        <v>24</v>
      </c>
      <c r="D97" s="14">
        <v>60</v>
      </c>
      <c r="E97" s="14">
        <v>52</v>
      </c>
    </row>
    <row r="98" spans="1:5" x14ac:dyDescent="0.3">
      <c r="A98" s="14">
        <v>97</v>
      </c>
      <c r="B98" s="14" t="s">
        <v>9</v>
      </c>
      <c r="C98" s="14">
        <v>47</v>
      </c>
      <c r="D98" s="14">
        <v>60</v>
      </c>
      <c r="E98" s="14">
        <v>47</v>
      </c>
    </row>
    <row r="99" spans="1:5" x14ac:dyDescent="0.3">
      <c r="A99" s="14">
        <v>98</v>
      </c>
      <c r="B99" s="14" t="s">
        <v>9</v>
      </c>
      <c r="C99" s="14">
        <v>27</v>
      </c>
      <c r="D99" s="14">
        <v>60</v>
      </c>
      <c r="E99" s="14">
        <v>50</v>
      </c>
    </row>
    <row r="100" spans="1:5" x14ac:dyDescent="0.3">
      <c r="A100" s="14">
        <v>99</v>
      </c>
      <c r="B100" s="14" t="s">
        <v>5</v>
      </c>
      <c r="C100" s="14">
        <v>48</v>
      </c>
      <c r="D100" s="14">
        <v>61</v>
      </c>
      <c r="E100" s="14">
        <v>42</v>
      </c>
    </row>
    <row r="101" spans="1:5" x14ac:dyDescent="0.3">
      <c r="A101" s="14">
        <v>100</v>
      </c>
      <c r="B101" s="14" t="s">
        <v>5</v>
      </c>
      <c r="C101" s="14">
        <v>20</v>
      </c>
      <c r="D101" s="14">
        <v>61</v>
      </c>
      <c r="E101" s="14">
        <v>49</v>
      </c>
    </row>
    <row r="102" spans="1:5" x14ac:dyDescent="0.3">
      <c r="A102" s="14">
        <v>101</v>
      </c>
      <c r="B102" s="14" t="s">
        <v>9</v>
      </c>
      <c r="C102" s="14">
        <v>23</v>
      </c>
      <c r="D102" s="14">
        <v>62</v>
      </c>
      <c r="E102" s="14">
        <v>41</v>
      </c>
    </row>
    <row r="103" spans="1:5" x14ac:dyDescent="0.3">
      <c r="A103" s="14">
        <v>102</v>
      </c>
      <c r="B103" s="14" t="s">
        <v>9</v>
      </c>
      <c r="C103" s="14">
        <v>49</v>
      </c>
      <c r="D103" s="14">
        <v>62</v>
      </c>
      <c r="E103" s="14">
        <v>48</v>
      </c>
    </row>
    <row r="104" spans="1:5" x14ac:dyDescent="0.3">
      <c r="A104" s="14">
        <v>103</v>
      </c>
      <c r="B104" s="14" t="s">
        <v>5</v>
      </c>
      <c r="C104" s="14">
        <v>67</v>
      </c>
      <c r="D104" s="14">
        <v>62</v>
      </c>
      <c r="E104" s="14">
        <v>59</v>
      </c>
    </row>
    <row r="105" spans="1:5" x14ac:dyDescent="0.3">
      <c r="A105" s="14">
        <v>104</v>
      </c>
      <c r="B105" s="14" t="s">
        <v>5</v>
      </c>
      <c r="C105" s="14">
        <v>26</v>
      </c>
      <c r="D105" s="14">
        <v>62</v>
      </c>
      <c r="E105" s="14">
        <v>55</v>
      </c>
    </row>
    <row r="106" spans="1:5" x14ac:dyDescent="0.3">
      <c r="A106" s="14">
        <v>105</v>
      </c>
      <c r="B106" s="14" t="s">
        <v>5</v>
      </c>
      <c r="C106" s="14">
        <v>49</v>
      </c>
      <c r="D106" s="14">
        <v>62</v>
      </c>
      <c r="E106" s="14">
        <v>56</v>
      </c>
    </row>
    <row r="107" spans="1:5" x14ac:dyDescent="0.3">
      <c r="A107" s="14">
        <v>106</v>
      </c>
      <c r="B107" s="14" t="s">
        <v>9</v>
      </c>
      <c r="C107" s="14">
        <v>21</v>
      </c>
      <c r="D107" s="14">
        <v>62</v>
      </c>
      <c r="E107" s="14">
        <v>42</v>
      </c>
    </row>
    <row r="108" spans="1:5" x14ac:dyDescent="0.3">
      <c r="A108" s="14">
        <v>107</v>
      </c>
      <c r="B108" s="14" t="s">
        <v>9</v>
      </c>
      <c r="C108" s="14">
        <v>66</v>
      </c>
      <c r="D108" s="14">
        <v>63</v>
      </c>
      <c r="E108" s="14">
        <v>50</v>
      </c>
    </row>
    <row r="109" spans="1:5" x14ac:dyDescent="0.3">
      <c r="A109" s="14">
        <v>108</v>
      </c>
      <c r="B109" s="14" t="s">
        <v>5</v>
      </c>
      <c r="C109" s="14">
        <v>54</v>
      </c>
      <c r="D109" s="14">
        <v>63</v>
      </c>
      <c r="E109" s="14">
        <v>46</v>
      </c>
    </row>
    <row r="110" spans="1:5" x14ac:dyDescent="0.3">
      <c r="A110" s="14">
        <v>109</v>
      </c>
      <c r="B110" s="14" t="s">
        <v>5</v>
      </c>
      <c r="C110" s="14">
        <v>68</v>
      </c>
      <c r="D110" s="14">
        <v>63</v>
      </c>
      <c r="E110" s="14">
        <v>43</v>
      </c>
    </row>
    <row r="111" spans="1:5" x14ac:dyDescent="0.3">
      <c r="A111" s="14">
        <v>110</v>
      </c>
      <c r="B111" s="14" t="s">
        <v>5</v>
      </c>
      <c r="C111" s="14">
        <v>66</v>
      </c>
      <c r="D111" s="14">
        <v>63</v>
      </c>
      <c r="E111" s="14">
        <v>48</v>
      </c>
    </row>
    <row r="112" spans="1:5" x14ac:dyDescent="0.3">
      <c r="A112" s="14">
        <v>111</v>
      </c>
      <c r="B112" s="14" t="s">
        <v>5</v>
      </c>
      <c r="C112" s="14">
        <v>65</v>
      </c>
      <c r="D112" s="14">
        <v>63</v>
      </c>
      <c r="E112" s="14">
        <v>52</v>
      </c>
    </row>
    <row r="113" spans="1:5" x14ac:dyDescent="0.3">
      <c r="A113" s="14">
        <v>112</v>
      </c>
      <c r="B113" s="14" t="s">
        <v>9</v>
      </c>
      <c r="C113" s="14">
        <v>19</v>
      </c>
      <c r="D113" s="14">
        <v>63</v>
      </c>
      <c r="E113" s="14">
        <v>54</v>
      </c>
    </row>
    <row r="114" spans="1:5" x14ac:dyDescent="0.3">
      <c r="A114" s="14">
        <v>113</v>
      </c>
      <c r="B114" s="14" t="s">
        <v>9</v>
      </c>
      <c r="C114" s="14">
        <v>38</v>
      </c>
      <c r="D114" s="14">
        <v>64</v>
      </c>
      <c r="E114" s="14">
        <v>42</v>
      </c>
    </row>
    <row r="115" spans="1:5" x14ac:dyDescent="0.3">
      <c r="A115" s="14">
        <v>114</v>
      </c>
      <c r="B115" s="14" t="s">
        <v>5</v>
      </c>
      <c r="C115" s="14">
        <v>19</v>
      </c>
      <c r="D115" s="14">
        <v>64</v>
      </c>
      <c r="E115" s="14">
        <v>46</v>
      </c>
    </row>
    <row r="116" spans="1:5" x14ac:dyDescent="0.3">
      <c r="A116" s="14">
        <v>115</v>
      </c>
      <c r="B116" s="14" t="s">
        <v>9</v>
      </c>
      <c r="C116" s="14">
        <v>18</v>
      </c>
      <c r="D116" s="14">
        <v>65</v>
      </c>
      <c r="E116" s="14">
        <v>48</v>
      </c>
    </row>
    <row r="117" spans="1:5" x14ac:dyDescent="0.3">
      <c r="A117" s="14">
        <v>116</v>
      </c>
      <c r="B117" s="14" t="s">
        <v>9</v>
      </c>
      <c r="C117" s="14">
        <v>19</v>
      </c>
      <c r="D117" s="14">
        <v>65</v>
      </c>
      <c r="E117" s="14">
        <v>50</v>
      </c>
    </row>
    <row r="118" spans="1:5" x14ac:dyDescent="0.3">
      <c r="A118" s="14">
        <v>117</v>
      </c>
      <c r="B118" s="14" t="s">
        <v>9</v>
      </c>
      <c r="C118" s="14">
        <v>63</v>
      </c>
      <c r="D118" s="14">
        <v>65</v>
      </c>
      <c r="E118" s="14">
        <v>43</v>
      </c>
    </row>
    <row r="119" spans="1:5" x14ac:dyDescent="0.3">
      <c r="A119" s="14">
        <v>118</v>
      </c>
      <c r="B119" s="14" t="s">
        <v>9</v>
      </c>
      <c r="C119" s="14">
        <v>49</v>
      </c>
      <c r="D119" s="14">
        <v>65</v>
      </c>
      <c r="E119" s="14">
        <v>59</v>
      </c>
    </row>
    <row r="120" spans="1:5" x14ac:dyDescent="0.3">
      <c r="A120" s="14">
        <v>119</v>
      </c>
      <c r="B120" s="14" t="s">
        <v>9</v>
      </c>
      <c r="C120" s="14">
        <v>51</v>
      </c>
      <c r="D120" s="14">
        <v>67</v>
      </c>
      <c r="E120" s="14">
        <v>43</v>
      </c>
    </row>
    <row r="121" spans="1:5" x14ac:dyDescent="0.3">
      <c r="A121" s="14">
        <v>120</v>
      </c>
      <c r="B121" s="14" t="s">
        <v>9</v>
      </c>
      <c r="C121" s="14">
        <v>50</v>
      </c>
      <c r="D121" s="14">
        <v>67</v>
      </c>
      <c r="E121" s="14">
        <v>57</v>
      </c>
    </row>
    <row r="122" spans="1:5" x14ac:dyDescent="0.3">
      <c r="A122" s="14">
        <v>121</v>
      </c>
      <c r="B122" s="14" t="s">
        <v>5</v>
      </c>
      <c r="C122" s="14">
        <v>27</v>
      </c>
      <c r="D122" s="14">
        <v>67</v>
      </c>
      <c r="E122" s="14">
        <v>56</v>
      </c>
    </row>
    <row r="123" spans="1:5" x14ac:dyDescent="0.3">
      <c r="A123" s="14">
        <v>122</v>
      </c>
      <c r="B123" s="14" t="s">
        <v>9</v>
      </c>
      <c r="C123" s="14">
        <v>38</v>
      </c>
      <c r="D123" s="14">
        <v>67</v>
      </c>
      <c r="E123" s="14">
        <v>40</v>
      </c>
    </row>
    <row r="124" spans="1:5" x14ac:dyDescent="0.3">
      <c r="A124" s="14">
        <v>123</v>
      </c>
      <c r="B124" s="14" t="s">
        <v>9</v>
      </c>
      <c r="C124" s="14">
        <v>40</v>
      </c>
      <c r="D124" s="14">
        <v>69</v>
      </c>
      <c r="E124" s="14">
        <v>58</v>
      </c>
    </row>
    <row r="125" spans="1:5" x14ac:dyDescent="0.3">
      <c r="A125" s="14">
        <v>124</v>
      </c>
      <c r="B125" s="14" t="s">
        <v>5</v>
      </c>
      <c r="C125" s="14">
        <v>39</v>
      </c>
      <c r="D125" s="14">
        <v>69</v>
      </c>
      <c r="E125" s="14">
        <v>91</v>
      </c>
    </row>
    <row r="126" spans="1:5" x14ac:dyDescent="0.3">
      <c r="A126" s="14">
        <v>125</v>
      </c>
      <c r="B126" s="14" t="s">
        <v>9</v>
      </c>
      <c r="C126" s="14">
        <v>23</v>
      </c>
      <c r="D126" s="14">
        <v>70</v>
      </c>
      <c r="E126" s="14">
        <v>29</v>
      </c>
    </row>
    <row r="127" spans="1:5" x14ac:dyDescent="0.3">
      <c r="A127" s="14">
        <v>126</v>
      </c>
      <c r="B127" s="14" t="s">
        <v>9</v>
      </c>
      <c r="C127" s="14">
        <v>31</v>
      </c>
      <c r="D127" s="14">
        <v>70</v>
      </c>
      <c r="E127" s="14">
        <v>77</v>
      </c>
    </row>
    <row r="128" spans="1:5" x14ac:dyDescent="0.3">
      <c r="A128" s="14">
        <v>127</v>
      </c>
      <c r="B128" s="14" t="s">
        <v>5</v>
      </c>
      <c r="C128" s="14">
        <v>43</v>
      </c>
      <c r="D128" s="14">
        <v>71</v>
      </c>
      <c r="E128" s="14">
        <v>35</v>
      </c>
    </row>
    <row r="129" spans="1:5" x14ac:dyDescent="0.3">
      <c r="A129" s="14">
        <v>128</v>
      </c>
      <c r="B129" s="14" t="s">
        <v>5</v>
      </c>
      <c r="C129" s="14">
        <v>40</v>
      </c>
      <c r="D129" s="14">
        <v>71</v>
      </c>
      <c r="E129" s="14">
        <v>95</v>
      </c>
    </row>
    <row r="130" spans="1:5" x14ac:dyDescent="0.3">
      <c r="A130" s="14">
        <v>129</v>
      </c>
      <c r="B130" s="14" t="s">
        <v>5</v>
      </c>
      <c r="C130" s="14">
        <v>59</v>
      </c>
      <c r="D130" s="14">
        <v>71</v>
      </c>
      <c r="E130" s="14">
        <v>11</v>
      </c>
    </row>
    <row r="131" spans="1:5" x14ac:dyDescent="0.3">
      <c r="A131" s="14">
        <v>130</v>
      </c>
      <c r="B131" s="14" t="s">
        <v>5</v>
      </c>
      <c r="C131" s="14">
        <v>38</v>
      </c>
      <c r="D131" s="14">
        <v>71</v>
      </c>
      <c r="E131" s="14">
        <v>75</v>
      </c>
    </row>
    <row r="132" spans="1:5" x14ac:dyDescent="0.3">
      <c r="A132" s="14">
        <v>131</v>
      </c>
      <c r="B132" s="14" t="s">
        <v>5</v>
      </c>
      <c r="C132" s="14">
        <v>47</v>
      </c>
      <c r="D132" s="14">
        <v>71</v>
      </c>
      <c r="E132" s="14">
        <v>9</v>
      </c>
    </row>
    <row r="133" spans="1:5" x14ac:dyDescent="0.3">
      <c r="A133" s="14">
        <v>132</v>
      </c>
      <c r="B133" s="14" t="s">
        <v>5</v>
      </c>
      <c r="C133" s="14">
        <v>39</v>
      </c>
      <c r="D133" s="14">
        <v>71</v>
      </c>
      <c r="E133" s="14">
        <v>75</v>
      </c>
    </row>
    <row r="134" spans="1:5" x14ac:dyDescent="0.3">
      <c r="A134" s="14">
        <v>133</v>
      </c>
      <c r="B134" s="14" t="s">
        <v>9</v>
      </c>
      <c r="C134" s="14">
        <v>25</v>
      </c>
      <c r="D134" s="14">
        <v>72</v>
      </c>
      <c r="E134" s="14">
        <v>34</v>
      </c>
    </row>
    <row r="135" spans="1:5" x14ac:dyDescent="0.3">
      <c r="A135" s="14">
        <v>134</v>
      </c>
      <c r="B135" s="14" t="s">
        <v>9</v>
      </c>
      <c r="C135" s="14">
        <v>31</v>
      </c>
      <c r="D135" s="14">
        <v>72</v>
      </c>
      <c r="E135" s="14">
        <v>71</v>
      </c>
    </row>
    <row r="136" spans="1:5" x14ac:dyDescent="0.3">
      <c r="A136" s="14">
        <v>135</v>
      </c>
      <c r="B136" s="14" t="s">
        <v>5</v>
      </c>
      <c r="C136" s="14">
        <v>20</v>
      </c>
      <c r="D136" s="14">
        <v>73</v>
      </c>
      <c r="E136" s="14">
        <v>5</v>
      </c>
    </row>
    <row r="137" spans="1:5" x14ac:dyDescent="0.3">
      <c r="A137" s="14">
        <v>136</v>
      </c>
      <c r="B137" s="14" t="s">
        <v>9</v>
      </c>
      <c r="C137" s="14">
        <v>29</v>
      </c>
      <c r="D137" s="14">
        <v>73</v>
      </c>
      <c r="E137" s="14">
        <v>88</v>
      </c>
    </row>
    <row r="138" spans="1:5" x14ac:dyDescent="0.3">
      <c r="A138" s="14">
        <v>137</v>
      </c>
      <c r="B138" s="14" t="s">
        <v>9</v>
      </c>
      <c r="C138" s="14">
        <v>44</v>
      </c>
      <c r="D138" s="14">
        <v>73</v>
      </c>
      <c r="E138" s="14">
        <v>7</v>
      </c>
    </row>
    <row r="139" spans="1:5" x14ac:dyDescent="0.3">
      <c r="A139" s="14">
        <v>138</v>
      </c>
      <c r="B139" s="14" t="s">
        <v>5</v>
      </c>
      <c r="C139" s="14">
        <v>32</v>
      </c>
      <c r="D139" s="14">
        <v>73</v>
      </c>
      <c r="E139" s="14">
        <v>73</v>
      </c>
    </row>
    <row r="140" spans="1:5" x14ac:dyDescent="0.3">
      <c r="A140" s="14">
        <v>139</v>
      </c>
      <c r="B140" s="14" t="s">
        <v>5</v>
      </c>
      <c r="C140" s="14">
        <v>19</v>
      </c>
      <c r="D140" s="14">
        <v>74</v>
      </c>
      <c r="E140" s="14">
        <v>10</v>
      </c>
    </row>
    <row r="141" spans="1:5" x14ac:dyDescent="0.3">
      <c r="A141" s="14">
        <v>140</v>
      </c>
      <c r="B141" s="14" t="s">
        <v>9</v>
      </c>
      <c r="C141" s="14">
        <v>35</v>
      </c>
      <c r="D141" s="14">
        <v>74</v>
      </c>
      <c r="E141" s="14">
        <v>72</v>
      </c>
    </row>
    <row r="142" spans="1:5" x14ac:dyDescent="0.3">
      <c r="A142" s="14">
        <v>141</v>
      </c>
      <c r="B142" s="14" t="s">
        <v>9</v>
      </c>
      <c r="C142" s="14">
        <v>57</v>
      </c>
      <c r="D142" s="14">
        <v>75</v>
      </c>
      <c r="E142" s="14">
        <v>5</v>
      </c>
    </row>
    <row r="143" spans="1:5" x14ac:dyDescent="0.3">
      <c r="A143" s="14">
        <v>142</v>
      </c>
      <c r="B143" s="14" t="s">
        <v>5</v>
      </c>
      <c r="C143" s="14">
        <v>32</v>
      </c>
      <c r="D143" s="14">
        <v>75</v>
      </c>
      <c r="E143" s="14">
        <v>93</v>
      </c>
    </row>
    <row r="144" spans="1:5" x14ac:dyDescent="0.3">
      <c r="A144" s="14">
        <v>143</v>
      </c>
      <c r="B144" s="14" t="s">
        <v>9</v>
      </c>
      <c r="C144" s="14">
        <v>28</v>
      </c>
      <c r="D144" s="14">
        <v>76</v>
      </c>
      <c r="E144" s="14">
        <v>40</v>
      </c>
    </row>
    <row r="145" spans="1:5" x14ac:dyDescent="0.3">
      <c r="A145" s="14">
        <v>144</v>
      </c>
      <c r="B145" s="14" t="s">
        <v>9</v>
      </c>
      <c r="C145" s="14">
        <v>32</v>
      </c>
      <c r="D145" s="14">
        <v>76</v>
      </c>
      <c r="E145" s="14">
        <v>87</v>
      </c>
    </row>
    <row r="146" spans="1:5" x14ac:dyDescent="0.3">
      <c r="A146" s="14">
        <v>145</v>
      </c>
      <c r="B146" s="14" t="s">
        <v>5</v>
      </c>
      <c r="C146" s="14">
        <v>25</v>
      </c>
      <c r="D146" s="14">
        <v>77</v>
      </c>
      <c r="E146" s="14">
        <v>12</v>
      </c>
    </row>
    <row r="147" spans="1:5" x14ac:dyDescent="0.3">
      <c r="A147" s="14">
        <v>146</v>
      </c>
      <c r="B147" s="14" t="s">
        <v>5</v>
      </c>
      <c r="C147" s="14">
        <v>28</v>
      </c>
      <c r="D147" s="14">
        <v>77</v>
      </c>
      <c r="E147" s="14">
        <v>97</v>
      </c>
    </row>
    <row r="148" spans="1:5" x14ac:dyDescent="0.3">
      <c r="A148" s="14">
        <v>147</v>
      </c>
      <c r="B148" s="14" t="s">
        <v>5</v>
      </c>
      <c r="C148" s="14">
        <v>48</v>
      </c>
      <c r="D148" s="14">
        <v>77</v>
      </c>
      <c r="E148" s="14">
        <v>36</v>
      </c>
    </row>
    <row r="149" spans="1:5" x14ac:dyDescent="0.3">
      <c r="A149" s="14">
        <v>148</v>
      </c>
      <c r="B149" s="14" t="s">
        <v>9</v>
      </c>
      <c r="C149" s="14">
        <v>32</v>
      </c>
      <c r="D149" s="14">
        <v>77</v>
      </c>
      <c r="E149" s="14">
        <v>74</v>
      </c>
    </row>
    <row r="150" spans="1:5" x14ac:dyDescent="0.3">
      <c r="A150" s="14">
        <v>149</v>
      </c>
      <c r="B150" s="14" t="s">
        <v>9</v>
      </c>
      <c r="C150" s="14">
        <v>34</v>
      </c>
      <c r="D150" s="14">
        <v>78</v>
      </c>
      <c r="E150" s="14">
        <v>22</v>
      </c>
    </row>
    <row r="151" spans="1:5" x14ac:dyDescent="0.3">
      <c r="A151" s="14">
        <v>150</v>
      </c>
      <c r="B151" s="14" t="s">
        <v>5</v>
      </c>
      <c r="C151" s="14">
        <v>34</v>
      </c>
      <c r="D151" s="14">
        <v>78</v>
      </c>
      <c r="E151" s="14">
        <v>90</v>
      </c>
    </row>
    <row r="152" spans="1:5" x14ac:dyDescent="0.3">
      <c r="A152" s="14">
        <v>151</v>
      </c>
      <c r="B152" s="14" t="s">
        <v>5</v>
      </c>
      <c r="C152" s="14">
        <v>43</v>
      </c>
      <c r="D152" s="14">
        <v>78</v>
      </c>
      <c r="E152" s="14">
        <v>17</v>
      </c>
    </row>
    <row r="153" spans="1:5" x14ac:dyDescent="0.3">
      <c r="A153" s="14">
        <v>152</v>
      </c>
      <c r="B153" s="14" t="s">
        <v>5</v>
      </c>
      <c r="C153" s="14">
        <v>39</v>
      </c>
      <c r="D153" s="14">
        <v>78</v>
      </c>
      <c r="E153" s="14">
        <v>88</v>
      </c>
    </row>
    <row r="154" spans="1:5" x14ac:dyDescent="0.3">
      <c r="A154" s="14">
        <v>153</v>
      </c>
      <c r="B154" s="14" t="s">
        <v>9</v>
      </c>
      <c r="C154" s="14">
        <v>44</v>
      </c>
      <c r="D154" s="14">
        <v>78</v>
      </c>
      <c r="E154" s="14">
        <v>20</v>
      </c>
    </row>
    <row r="155" spans="1:5" x14ac:dyDescent="0.3">
      <c r="A155" s="14">
        <v>154</v>
      </c>
      <c r="B155" s="14" t="s">
        <v>9</v>
      </c>
      <c r="C155" s="14">
        <v>38</v>
      </c>
      <c r="D155" s="14">
        <v>78</v>
      </c>
      <c r="E155" s="14">
        <v>76</v>
      </c>
    </row>
    <row r="156" spans="1:5" x14ac:dyDescent="0.3">
      <c r="A156" s="14">
        <v>155</v>
      </c>
      <c r="B156" s="14" t="s">
        <v>9</v>
      </c>
      <c r="C156" s="14">
        <v>47</v>
      </c>
      <c r="D156" s="14">
        <v>78</v>
      </c>
      <c r="E156" s="14">
        <v>16</v>
      </c>
    </row>
    <row r="157" spans="1:5" x14ac:dyDescent="0.3">
      <c r="A157" s="14">
        <v>156</v>
      </c>
      <c r="B157" s="14" t="s">
        <v>9</v>
      </c>
      <c r="C157" s="14">
        <v>27</v>
      </c>
      <c r="D157" s="14">
        <v>78</v>
      </c>
      <c r="E157" s="14">
        <v>89</v>
      </c>
    </row>
    <row r="158" spans="1:5" x14ac:dyDescent="0.3">
      <c r="A158" s="14">
        <v>157</v>
      </c>
      <c r="B158" s="14" t="s">
        <v>5</v>
      </c>
      <c r="C158" s="14">
        <v>37</v>
      </c>
      <c r="D158" s="14">
        <v>78</v>
      </c>
      <c r="E158" s="14">
        <v>1</v>
      </c>
    </row>
    <row r="159" spans="1:5" x14ac:dyDescent="0.3">
      <c r="A159" s="14">
        <v>158</v>
      </c>
      <c r="B159" s="14" t="s">
        <v>9</v>
      </c>
      <c r="C159" s="14">
        <v>30</v>
      </c>
      <c r="D159" s="14">
        <v>78</v>
      </c>
      <c r="E159" s="14">
        <v>78</v>
      </c>
    </row>
    <row r="160" spans="1:5" x14ac:dyDescent="0.3">
      <c r="A160" s="14">
        <v>159</v>
      </c>
      <c r="B160" s="14" t="s">
        <v>5</v>
      </c>
      <c r="C160" s="14">
        <v>34</v>
      </c>
      <c r="D160" s="14">
        <v>78</v>
      </c>
      <c r="E160" s="14">
        <v>1</v>
      </c>
    </row>
    <row r="161" spans="1:5" x14ac:dyDescent="0.3">
      <c r="A161" s="14">
        <v>160</v>
      </c>
      <c r="B161" s="14" t="s">
        <v>9</v>
      </c>
      <c r="C161" s="14">
        <v>30</v>
      </c>
      <c r="D161" s="14">
        <v>78</v>
      </c>
      <c r="E161" s="14">
        <v>73</v>
      </c>
    </row>
    <row r="162" spans="1:5" x14ac:dyDescent="0.3">
      <c r="A162" s="14">
        <v>161</v>
      </c>
      <c r="B162" s="14" t="s">
        <v>9</v>
      </c>
      <c r="C162" s="14">
        <v>56</v>
      </c>
      <c r="D162" s="14">
        <v>79</v>
      </c>
      <c r="E162" s="14">
        <v>35</v>
      </c>
    </row>
    <row r="163" spans="1:5" x14ac:dyDescent="0.3">
      <c r="A163" s="14">
        <v>162</v>
      </c>
      <c r="B163" s="14" t="s">
        <v>9</v>
      </c>
      <c r="C163" s="14">
        <v>29</v>
      </c>
      <c r="D163" s="14">
        <v>79</v>
      </c>
      <c r="E163" s="14">
        <v>83</v>
      </c>
    </row>
    <row r="164" spans="1:5" x14ac:dyDescent="0.3">
      <c r="A164" s="14">
        <v>163</v>
      </c>
      <c r="B164" s="14" t="s">
        <v>5</v>
      </c>
      <c r="C164" s="14">
        <v>19</v>
      </c>
      <c r="D164" s="14">
        <v>81</v>
      </c>
      <c r="E164" s="14">
        <v>5</v>
      </c>
    </row>
    <row r="165" spans="1:5" x14ac:dyDescent="0.3">
      <c r="A165" s="14">
        <v>164</v>
      </c>
      <c r="B165" s="14" t="s">
        <v>9</v>
      </c>
      <c r="C165" s="14">
        <v>31</v>
      </c>
      <c r="D165" s="14">
        <v>81</v>
      </c>
      <c r="E165" s="14">
        <v>93</v>
      </c>
    </row>
    <row r="166" spans="1:5" x14ac:dyDescent="0.3">
      <c r="A166" s="14">
        <v>165</v>
      </c>
      <c r="B166" s="14" t="s">
        <v>5</v>
      </c>
      <c r="C166" s="14">
        <v>50</v>
      </c>
      <c r="D166" s="14">
        <v>85</v>
      </c>
      <c r="E166" s="14">
        <v>26</v>
      </c>
    </row>
    <row r="167" spans="1:5" x14ac:dyDescent="0.3">
      <c r="A167" s="14">
        <v>166</v>
      </c>
      <c r="B167" s="14" t="s">
        <v>9</v>
      </c>
      <c r="C167" s="14">
        <v>36</v>
      </c>
      <c r="D167" s="14">
        <v>85</v>
      </c>
      <c r="E167" s="14">
        <v>75</v>
      </c>
    </row>
    <row r="168" spans="1:5" x14ac:dyDescent="0.3">
      <c r="A168" s="14">
        <v>167</v>
      </c>
      <c r="B168" s="14" t="s">
        <v>5</v>
      </c>
      <c r="C168" s="14">
        <v>42</v>
      </c>
      <c r="D168" s="14">
        <v>86</v>
      </c>
      <c r="E168" s="14">
        <v>20</v>
      </c>
    </row>
    <row r="169" spans="1:5" x14ac:dyDescent="0.3">
      <c r="A169" s="14">
        <v>168</v>
      </c>
      <c r="B169" s="14" t="s">
        <v>9</v>
      </c>
      <c r="C169" s="14">
        <v>33</v>
      </c>
      <c r="D169" s="14">
        <v>86</v>
      </c>
      <c r="E169" s="14">
        <v>95</v>
      </c>
    </row>
    <row r="170" spans="1:5" x14ac:dyDescent="0.3">
      <c r="A170" s="14">
        <v>169</v>
      </c>
      <c r="B170" s="14" t="s">
        <v>9</v>
      </c>
      <c r="C170" s="14">
        <v>36</v>
      </c>
      <c r="D170" s="14">
        <v>87</v>
      </c>
      <c r="E170" s="14">
        <v>27</v>
      </c>
    </row>
    <row r="171" spans="1:5" x14ac:dyDescent="0.3">
      <c r="A171" s="14">
        <v>170</v>
      </c>
      <c r="B171" s="14" t="s">
        <v>5</v>
      </c>
      <c r="C171" s="14">
        <v>32</v>
      </c>
      <c r="D171" s="14">
        <v>87</v>
      </c>
      <c r="E171" s="14">
        <v>63</v>
      </c>
    </row>
    <row r="172" spans="1:5" x14ac:dyDescent="0.3">
      <c r="A172" s="14">
        <v>171</v>
      </c>
      <c r="B172" s="14" t="s">
        <v>5</v>
      </c>
      <c r="C172" s="14">
        <v>40</v>
      </c>
      <c r="D172" s="14">
        <v>87</v>
      </c>
      <c r="E172" s="14">
        <v>13</v>
      </c>
    </row>
    <row r="173" spans="1:5" x14ac:dyDescent="0.3">
      <c r="A173" s="14">
        <v>172</v>
      </c>
      <c r="B173" s="14" t="s">
        <v>5</v>
      </c>
      <c r="C173" s="14">
        <v>28</v>
      </c>
      <c r="D173" s="14">
        <v>87</v>
      </c>
      <c r="E173" s="14">
        <v>75</v>
      </c>
    </row>
    <row r="174" spans="1:5" x14ac:dyDescent="0.3">
      <c r="A174" s="14">
        <v>173</v>
      </c>
      <c r="B174" s="14" t="s">
        <v>5</v>
      </c>
      <c r="C174" s="14">
        <v>36</v>
      </c>
      <c r="D174" s="14">
        <v>87</v>
      </c>
      <c r="E174" s="14">
        <v>10</v>
      </c>
    </row>
    <row r="175" spans="1:5" x14ac:dyDescent="0.3">
      <c r="A175" s="14">
        <v>174</v>
      </c>
      <c r="B175" s="14" t="s">
        <v>5</v>
      </c>
      <c r="C175" s="14">
        <v>36</v>
      </c>
      <c r="D175" s="14">
        <v>87</v>
      </c>
      <c r="E175" s="14">
        <v>92</v>
      </c>
    </row>
    <row r="176" spans="1:5" x14ac:dyDescent="0.3">
      <c r="A176" s="14">
        <v>175</v>
      </c>
      <c r="B176" s="14" t="s">
        <v>9</v>
      </c>
      <c r="C176" s="14">
        <v>52</v>
      </c>
      <c r="D176" s="14">
        <v>88</v>
      </c>
      <c r="E176" s="14">
        <v>13</v>
      </c>
    </row>
    <row r="177" spans="1:5" x14ac:dyDescent="0.3">
      <c r="A177" s="14">
        <v>176</v>
      </c>
      <c r="B177" s="14" t="s">
        <v>9</v>
      </c>
      <c r="C177" s="14">
        <v>30</v>
      </c>
      <c r="D177" s="14">
        <v>88</v>
      </c>
      <c r="E177" s="14">
        <v>86</v>
      </c>
    </row>
    <row r="178" spans="1:5" x14ac:dyDescent="0.3">
      <c r="A178" s="14">
        <v>177</v>
      </c>
      <c r="B178" s="14" t="s">
        <v>5</v>
      </c>
      <c r="C178" s="14">
        <v>58</v>
      </c>
      <c r="D178" s="14">
        <v>88</v>
      </c>
      <c r="E178" s="14">
        <v>15</v>
      </c>
    </row>
    <row r="179" spans="1:5" x14ac:dyDescent="0.3">
      <c r="A179" s="14">
        <v>178</v>
      </c>
      <c r="B179" s="14" t="s">
        <v>5</v>
      </c>
      <c r="C179" s="14">
        <v>27</v>
      </c>
      <c r="D179" s="14">
        <v>88</v>
      </c>
      <c r="E179" s="14">
        <v>69</v>
      </c>
    </row>
    <row r="180" spans="1:5" x14ac:dyDescent="0.3">
      <c r="A180" s="14">
        <v>179</v>
      </c>
      <c r="B180" s="14" t="s">
        <v>5</v>
      </c>
      <c r="C180" s="14">
        <v>59</v>
      </c>
      <c r="D180" s="14">
        <v>93</v>
      </c>
      <c r="E180" s="14">
        <v>14</v>
      </c>
    </row>
    <row r="181" spans="1:5" x14ac:dyDescent="0.3">
      <c r="A181" s="14">
        <v>180</v>
      </c>
      <c r="B181" s="14" t="s">
        <v>5</v>
      </c>
      <c r="C181" s="14">
        <v>35</v>
      </c>
      <c r="D181" s="14">
        <v>93</v>
      </c>
      <c r="E181" s="14">
        <v>90</v>
      </c>
    </row>
    <row r="182" spans="1:5" x14ac:dyDescent="0.3">
      <c r="A182" s="14">
        <v>181</v>
      </c>
      <c r="B182" s="14" t="s">
        <v>9</v>
      </c>
      <c r="C182" s="14">
        <v>37</v>
      </c>
      <c r="D182" s="14">
        <v>97</v>
      </c>
      <c r="E182" s="14">
        <v>32</v>
      </c>
    </row>
    <row r="183" spans="1:5" x14ac:dyDescent="0.3">
      <c r="A183" s="14">
        <v>182</v>
      </c>
      <c r="B183" s="14" t="s">
        <v>9</v>
      </c>
      <c r="C183" s="14">
        <v>32</v>
      </c>
      <c r="D183" s="14">
        <v>97</v>
      </c>
      <c r="E183" s="14">
        <v>86</v>
      </c>
    </row>
    <row r="184" spans="1:5" x14ac:dyDescent="0.3">
      <c r="A184" s="14">
        <v>183</v>
      </c>
      <c r="B184" s="14" t="s">
        <v>5</v>
      </c>
      <c r="C184" s="14">
        <v>46</v>
      </c>
      <c r="D184" s="14">
        <v>98</v>
      </c>
      <c r="E184" s="14">
        <v>15</v>
      </c>
    </row>
    <row r="185" spans="1:5" x14ac:dyDescent="0.3">
      <c r="A185" s="14">
        <v>184</v>
      </c>
      <c r="B185" s="14" t="s">
        <v>9</v>
      </c>
      <c r="C185" s="14">
        <v>29</v>
      </c>
      <c r="D185" s="14">
        <v>98</v>
      </c>
      <c r="E185" s="14">
        <v>88</v>
      </c>
    </row>
    <row r="186" spans="1:5" x14ac:dyDescent="0.3">
      <c r="A186" s="14">
        <v>185</v>
      </c>
      <c r="B186" s="14" t="s">
        <v>9</v>
      </c>
      <c r="C186" s="14">
        <v>41</v>
      </c>
      <c r="D186" s="14">
        <v>99</v>
      </c>
      <c r="E186" s="14">
        <v>39</v>
      </c>
    </row>
    <row r="187" spans="1:5" x14ac:dyDescent="0.3">
      <c r="A187" s="14">
        <v>186</v>
      </c>
      <c r="B187" s="14" t="s">
        <v>5</v>
      </c>
      <c r="C187" s="14">
        <v>30</v>
      </c>
      <c r="D187" s="14">
        <v>99</v>
      </c>
      <c r="E187" s="14">
        <v>97</v>
      </c>
    </row>
    <row r="188" spans="1:5" x14ac:dyDescent="0.3">
      <c r="A188" s="14">
        <v>187</v>
      </c>
      <c r="B188" s="14" t="s">
        <v>9</v>
      </c>
      <c r="C188" s="14">
        <v>54</v>
      </c>
      <c r="D188" s="14">
        <v>101</v>
      </c>
      <c r="E188" s="14">
        <v>24</v>
      </c>
    </row>
    <row r="189" spans="1:5" x14ac:dyDescent="0.3">
      <c r="A189" s="14">
        <v>188</v>
      </c>
      <c r="B189" s="14" t="s">
        <v>5</v>
      </c>
      <c r="C189" s="14">
        <v>28</v>
      </c>
      <c r="D189" s="14">
        <v>101</v>
      </c>
      <c r="E189" s="14">
        <v>68</v>
      </c>
    </row>
    <row r="190" spans="1:5" x14ac:dyDescent="0.3">
      <c r="A190" s="14">
        <v>189</v>
      </c>
      <c r="B190" s="14" t="s">
        <v>9</v>
      </c>
      <c r="C190" s="14">
        <v>41</v>
      </c>
      <c r="D190" s="14">
        <v>103</v>
      </c>
      <c r="E190" s="14">
        <v>17</v>
      </c>
    </row>
    <row r="191" spans="1:5" x14ac:dyDescent="0.3">
      <c r="A191" s="14">
        <v>190</v>
      </c>
      <c r="B191" s="14" t="s">
        <v>9</v>
      </c>
      <c r="C191" s="14">
        <v>36</v>
      </c>
      <c r="D191" s="14">
        <v>103</v>
      </c>
      <c r="E191" s="14">
        <v>85</v>
      </c>
    </row>
    <row r="192" spans="1:5" x14ac:dyDescent="0.3">
      <c r="A192" s="14">
        <v>191</v>
      </c>
      <c r="B192" s="14" t="s">
        <v>9</v>
      </c>
      <c r="C192" s="14">
        <v>34</v>
      </c>
      <c r="D192" s="14">
        <v>103</v>
      </c>
      <c r="E192" s="14">
        <v>23</v>
      </c>
    </row>
    <row r="193" spans="1:5" x14ac:dyDescent="0.3">
      <c r="A193" s="14">
        <v>192</v>
      </c>
      <c r="B193" s="14" t="s">
        <v>9</v>
      </c>
      <c r="C193" s="14">
        <v>32</v>
      </c>
      <c r="D193" s="14">
        <v>103</v>
      </c>
      <c r="E193" s="14">
        <v>69</v>
      </c>
    </row>
    <row r="194" spans="1:5" x14ac:dyDescent="0.3">
      <c r="A194" s="14">
        <v>193</v>
      </c>
      <c r="B194" s="14" t="s">
        <v>5</v>
      </c>
      <c r="C194" s="14">
        <v>33</v>
      </c>
      <c r="D194" s="14">
        <v>113</v>
      </c>
      <c r="E194" s="14">
        <v>8</v>
      </c>
    </row>
    <row r="195" spans="1:5" x14ac:dyDescent="0.3">
      <c r="A195" s="14">
        <v>194</v>
      </c>
      <c r="B195" s="14" t="s">
        <v>9</v>
      </c>
      <c r="C195" s="14">
        <v>38</v>
      </c>
      <c r="D195" s="14">
        <v>113</v>
      </c>
      <c r="E195" s="14">
        <v>91</v>
      </c>
    </row>
    <row r="196" spans="1:5" x14ac:dyDescent="0.3">
      <c r="A196" s="14">
        <v>195</v>
      </c>
      <c r="B196" s="14" t="s">
        <v>9</v>
      </c>
      <c r="C196" s="14">
        <v>47</v>
      </c>
      <c r="D196" s="14">
        <v>120</v>
      </c>
      <c r="E196" s="14">
        <v>16</v>
      </c>
    </row>
    <row r="197" spans="1:5" x14ac:dyDescent="0.3">
      <c r="A197" s="14">
        <v>196</v>
      </c>
      <c r="B197" s="14" t="s">
        <v>9</v>
      </c>
      <c r="C197" s="14">
        <v>35</v>
      </c>
      <c r="D197" s="14">
        <v>120</v>
      </c>
      <c r="E197" s="14">
        <v>79</v>
      </c>
    </row>
    <row r="198" spans="1:5" x14ac:dyDescent="0.3">
      <c r="A198" s="14">
        <v>197</v>
      </c>
      <c r="B198" s="14" t="s">
        <v>9</v>
      </c>
      <c r="C198" s="14">
        <v>45</v>
      </c>
      <c r="D198" s="14">
        <v>126</v>
      </c>
      <c r="E198" s="14">
        <v>28</v>
      </c>
    </row>
    <row r="199" spans="1:5" x14ac:dyDescent="0.3">
      <c r="A199" s="14">
        <v>198</v>
      </c>
      <c r="B199" s="14" t="s">
        <v>5</v>
      </c>
      <c r="C199" s="14">
        <v>32</v>
      </c>
      <c r="D199" s="14">
        <v>126</v>
      </c>
      <c r="E199" s="14">
        <v>74</v>
      </c>
    </row>
    <row r="200" spans="1:5" x14ac:dyDescent="0.3">
      <c r="A200" s="14">
        <v>199</v>
      </c>
      <c r="B200" s="14" t="s">
        <v>5</v>
      </c>
      <c r="C200" s="14">
        <v>32</v>
      </c>
      <c r="D200" s="14">
        <v>137</v>
      </c>
      <c r="E200" s="14">
        <v>18</v>
      </c>
    </row>
    <row r="201" spans="1:5" x14ac:dyDescent="0.3">
      <c r="A201" s="14">
        <v>200</v>
      </c>
      <c r="B201" s="14" t="s">
        <v>5</v>
      </c>
      <c r="C201" s="14">
        <v>30</v>
      </c>
      <c r="D201" s="14">
        <v>137</v>
      </c>
      <c r="E201" s="14">
        <v>83</v>
      </c>
    </row>
  </sheetData>
  <autoFilter ref="A1:J201" xr:uid="{703053A0-F99B-448A-A88C-1C1C7AB34AB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B28F-ABEE-4B6C-AA5E-AAC2323A19B9}">
  <dimension ref="A1:S201"/>
  <sheetViews>
    <sheetView zoomScale="60" zoomScaleNormal="93" workbookViewId="0">
      <selection activeCell="J1" sqref="J1"/>
    </sheetView>
  </sheetViews>
  <sheetFormatPr defaultRowHeight="14.4" x14ac:dyDescent="0.3"/>
  <cols>
    <col min="1" max="1" width="10.88671875" bestFit="1" customWidth="1"/>
    <col min="2" max="2" width="6.88671875" bestFit="1" customWidth="1"/>
    <col min="3" max="3" width="4.21875" bestFit="1" customWidth="1"/>
    <col min="4" max="4" width="17.77734375" bestFit="1" customWidth="1"/>
    <col min="5" max="5" width="20.6640625" bestFit="1" customWidth="1"/>
    <col min="6" max="6" width="32.33203125" bestFit="1" customWidth="1"/>
    <col min="7" max="7" width="22.6640625" bestFit="1" customWidth="1"/>
    <col min="13" max="13" width="13.88671875" bestFit="1" customWidth="1"/>
    <col min="17" max="17" width="9.109375" bestFit="1" customWidth="1"/>
  </cols>
  <sheetData>
    <row r="1" spans="1:19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186</v>
      </c>
      <c r="G1" s="18" t="s">
        <v>183</v>
      </c>
      <c r="K1" s="12" t="s">
        <v>187</v>
      </c>
      <c r="L1" s="12"/>
      <c r="M1" s="12"/>
      <c r="N1" s="12"/>
      <c r="S1" t="s">
        <v>181</v>
      </c>
    </row>
    <row r="2" spans="1:19" x14ac:dyDescent="0.3">
      <c r="A2" s="14">
        <v>1</v>
      </c>
      <c r="B2" s="14" t="s">
        <v>5</v>
      </c>
      <c r="C2" s="14">
        <v>19</v>
      </c>
      <c r="D2" s="14">
        <v>15</v>
      </c>
      <c r="E2" s="14">
        <v>39</v>
      </c>
      <c r="F2" t="str">
        <f>_xlfn.CONCAT(B2,D2)</f>
        <v>Male15</v>
      </c>
      <c r="G2" t="str">
        <f>_xlfn.CONCAT(B2,C2)</f>
        <v>Male19</v>
      </c>
    </row>
    <row r="3" spans="1:19" x14ac:dyDescent="0.3">
      <c r="A3" s="14">
        <v>2</v>
      </c>
      <c r="B3" s="14" t="s">
        <v>5</v>
      </c>
      <c r="C3" s="14">
        <v>21</v>
      </c>
      <c r="D3" s="14">
        <v>15</v>
      </c>
      <c r="E3" s="14">
        <v>81</v>
      </c>
      <c r="F3" t="str">
        <f t="shared" ref="F3:F66" si="0">_xlfn.CONCAT(B3,D3)</f>
        <v>Male15</v>
      </c>
      <c r="G3" t="str">
        <f t="shared" ref="G3:G66" si="1">_xlfn.CONCAT(B3,C3)</f>
        <v>Male21</v>
      </c>
      <c r="L3">
        <f>VLOOKUP("Female54",CHOOSE({1,2},F2:F201,A2:A201),2,0)</f>
        <v>77</v>
      </c>
    </row>
    <row r="4" spans="1:19" x14ac:dyDescent="0.3">
      <c r="A4" s="14">
        <v>3</v>
      </c>
      <c r="B4" s="14" t="s">
        <v>9</v>
      </c>
      <c r="C4" s="14">
        <v>20</v>
      </c>
      <c r="D4" s="14">
        <v>16</v>
      </c>
      <c r="E4" s="14">
        <v>6</v>
      </c>
      <c r="F4" t="str">
        <f t="shared" si="0"/>
        <v>Female16</v>
      </c>
      <c r="G4" t="str">
        <f t="shared" si="1"/>
        <v>Female20</v>
      </c>
    </row>
    <row r="5" spans="1:19" x14ac:dyDescent="0.3">
      <c r="A5" s="14">
        <v>4</v>
      </c>
      <c r="B5" s="14" t="s">
        <v>9</v>
      </c>
      <c r="C5" s="14">
        <v>23</v>
      </c>
      <c r="D5" s="14">
        <v>16</v>
      </c>
      <c r="E5" s="14">
        <v>77</v>
      </c>
      <c r="F5" t="str">
        <f t="shared" si="0"/>
        <v>Female16</v>
      </c>
      <c r="G5" t="str">
        <f t="shared" si="1"/>
        <v>Female23</v>
      </c>
      <c r="K5" s="12" t="s">
        <v>188</v>
      </c>
      <c r="L5" s="12"/>
      <c r="M5" s="12"/>
      <c r="N5" s="12"/>
    </row>
    <row r="6" spans="1:19" x14ac:dyDescent="0.3">
      <c r="A6" s="14">
        <v>5</v>
      </c>
      <c r="B6" s="14" t="s">
        <v>9</v>
      </c>
      <c r="C6" s="14">
        <v>31</v>
      </c>
      <c r="D6" s="14">
        <v>17</v>
      </c>
      <c r="E6" s="14">
        <v>40</v>
      </c>
      <c r="F6" t="str">
        <f t="shared" si="0"/>
        <v>Female17</v>
      </c>
      <c r="G6" t="str">
        <f t="shared" si="1"/>
        <v>Female31</v>
      </c>
    </row>
    <row r="7" spans="1:19" x14ac:dyDescent="0.3">
      <c r="A7" s="14">
        <v>6</v>
      </c>
      <c r="B7" s="14" t="s">
        <v>9</v>
      </c>
      <c r="C7" s="14">
        <v>22</v>
      </c>
      <c r="D7" s="14">
        <v>17</v>
      </c>
      <c r="E7" s="14">
        <v>76</v>
      </c>
      <c r="F7" t="str">
        <f t="shared" si="0"/>
        <v>Female17</v>
      </c>
      <c r="G7" t="str">
        <f t="shared" si="1"/>
        <v>Female22</v>
      </c>
      <c r="L7">
        <f>VLOOKUP(10,A1:E201,5,0)</f>
        <v>72</v>
      </c>
    </row>
    <row r="8" spans="1:19" x14ac:dyDescent="0.3">
      <c r="A8" s="14">
        <v>7</v>
      </c>
      <c r="B8" s="14" t="s">
        <v>9</v>
      </c>
      <c r="C8" s="14">
        <v>35</v>
      </c>
      <c r="D8" s="14">
        <v>18</v>
      </c>
      <c r="E8" s="14">
        <v>6</v>
      </c>
      <c r="F8" t="str">
        <f t="shared" si="0"/>
        <v>Female18</v>
      </c>
      <c r="G8" t="str">
        <f t="shared" si="1"/>
        <v>Female35</v>
      </c>
    </row>
    <row r="9" spans="1:19" x14ac:dyDescent="0.3">
      <c r="A9" s="14">
        <v>8</v>
      </c>
      <c r="B9" s="14" t="s">
        <v>9</v>
      </c>
      <c r="C9" s="14">
        <v>23</v>
      </c>
      <c r="D9" s="14">
        <v>18</v>
      </c>
      <c r="E9" s="14">
        <v>94</v>
      </c>
      <c r="F9" t="str">
        <f t="shared" si="0"/>
        <v>Female18</v>
      </c>
      <c r="G9" t="str">
        <f t="shared" si="1"/>
        <v>Female23</v>
      </c>
      <c r="K9" s="12" t="s">
        <v>189</v>
      </c>
      <c r="L9" s="12"/>
    </row>
    <row r="10" spans="1:19" x14ac:dyDescent="0.3">
      <c r="A10" s="14">
        <v>9</v>
      </c>
      <c r="B10" s="14" t="s">
        <v>5</v>
      </c>
      <c r="C10" s="14">
        <v>64</v>
      </c>
      <c r="D10" s="14">
        <v>19</v>
      </c>
      <c r="E10" s="14">
        <v>3</v>
      </c>
      <c r="F10" t="str">
        <f t="shared" si="0"/>
        <v>Male19</v>
      </c>
      <c r="G10" t="str">
        <f t="shared" si="1"/>
        <v>Male64</v>
      </c>
    </row>
    <row r="11" spans="1:19" x14ac:dyDescent="0.3">
      <c r="A11" s="14">
        <v>10</v>
      </c>
      <c r="B11" s="14" t="s">
        <v>9</v>
      </c>
      <c r="C11" s="14">
        <v>30</v>
      </c>
      <c r="D11" s="14">
        <v>19</v>
      </c>
      <c r="E11" s="14">
        <v>72</v>
      </c>
      <c r="F11" t="str">
        <f t="shared" si="0"/>
        <v>Female19</v>
      </c>
      <c r="G11" t="str">
        <f t="shared" si="1"/>
        <v>Female30</v>
      </c>
      <c r="L11">
        <f>VLOOKUP(25,A1:E201,3,0)</f>
        <v>54</v>
      </c>
    </row>
    <row r="12" spans="1:19" x14ac:dyDescent="0.3">
      <c r="A12" s="14">
        <v>11</v>
      </c>
      <c r="B12" s="14" t="s">
        <v>5</v>
      </c>
      <c r="C12" s="14">
        <v>67</v>
      </c>
      <c r="D12" s="14">
        <v>19</v>
      </c>
      <c r="E12" s="14">
        <v>14</v>
      </c>
      <c r="F12" t="str">
        <f t="shared" si="0"/>
        <v>Male19</v>
      </c>
      <c r="G12" t="str">
        <f t="shared" si="1"/>
        <v>Male67</v>
      </c>
    </row>
    <row r="13" spans="1:19" x14ac:dyDescent="0.3">
      <c r="A13" s="14">
        <v>12</v>
      </c>
      <c r="B13" s="14" t="s">
        <v>9</v>
      </c>
      <c r="C13" s="14">
        <v>35</v>
      </c>
      <c r="D13" s="14">
        <v>19</v>
      </c>
      <c r="E13" s="14">
        <v>99</v>
      </c>
      <c r="F13" t="str">
        <f t="shared" si="0"/>
        <v>Female19</v>
      </c>
      <c r="G13" t="str">
        <f t="shared" si="1"/>
        <v>Female35</v>
      </c>
      <c r="K13" s="12" t="s">
        <v>190</v>
      </c>
      <c r="L13" s="12"/>
      <c r="M13" s="12"/>
      <c r="N13" s="12"/>
      <c r="O13" s="12"/>
      <c r="P13" s="12"/>
      <c r="Q13" s="12"/>
      <c r="R13" s="12"/>
      <c r="S13" s="12"/>
    </row>
    <row r="14" spans="1:19" x14ac:dyDescent="0.3">
      <c r="A14" s="14">
        <v>13</v>
      </c>
      <c r="B14" s="14" t="s">
        <v>9</v>
      </c>
      <c r="C14" s="14">
        <v>58</v>
      </c>
      <c r="D14" s="14">
        <v>20</v>
      </c>
      <c r="E14" s="14">
        <v>15</v>
      </c>
      <c r="F14" t="str">
        <f t="shared" si="0"/>
        <v>Female20</v>
      </c>
      <c r="G14" t="str">
        <f t="shared" si="1"/>
        <v>Female58</v>
      </c>
    </row>
    <row r="15" spans="1:19" x14ac:dyDescent="0.3">
      <c r="A15" s="14">
        <v>14</v>
      </c>
      <c r="B15" s="14" t="s">
        <v>9</v>
      </c>
      <c r="C15" s="14">
        <v>24</v>
      </c>
      <c r="D15" s="14">
        <v>20</v>
      </c>
      <c r="E15" s="14">
        <v>77</v>
      </c>
      <c r="F15" t="str">
        <f t="shared" si="0"/>
        <v>Female20</v>
      </c>
      <c r="G15" t="str">
        <f t="shared" si="1"/>
        <v>Female24</v>
      </c>
      <c r="M15" t="s">
        <v>185</v>
      </c>
      <c r="N15">
        <f>VLOOKUP(85,CHOOSE({1,2},$E$2:$E$201,A2:A201),2,0)</f>
        <v>190</v>
      </c>
    </row>
    <row r="16" spans="1:19" x14ac:dyDescent="0.3">
      <c r="A16" s="14">
        <v>15</v>
      </c>
      <c r="B16" s="14" t="s">
        <v>5</v>
      </c>
      <c r="C16" s="14">
        <v>37</v>
      </c>
      <c r="D16" s="14">
        <v>20</v>
      </c>
      <c r="E16" s="14">
        <v>13</v>
      </c>
      <c r="F16" t="str">
        <f t="shared" si="0"/>
        <v>Male20</v>
      </c>
      <c r="G16" t="str">
        <f t="shared" si="1"/>
        <v>Male37</v>
      </c>
      <c r="M16" t="s">
        <v>2</v>
      </c>
      <c r="N16">
        <f>VLOOKUP(85,CHOOSE({1,2},$E$2:$E$201,C2:C201),2,0)</f>
        <v>36</v>
      </c>
    </row>
    <row r="17" spans="1:17" x14ac:dyDescent="0.3">
      <c r="A17" s="14">
        <v>16</v>
      </c>
      <c r="B17" s="14" t="s">
        <v>5</v>
      </c>
      <c r="C17" s="14">
        <v>22</v>
      </c>
      <c r="D17" s="14">
        <v>20</v>
      </c>
      <c r="E17" s="14">
        <v>79</v>
      </c>
      <c r="F17" t="str">
        <f t="shared" si="0"/>
        <v>Male20</v>
      </c>
      <c r="G17" t="str">
        <f t="shared" si="1"/>
        <v>Male22</v>
      </c>
      <c r="M17" t="s">
        <v>184</v>
      </c>
      <c r="N17">
        <f>VLOOKUP(85,CHOOSE({1,2},$E$2:$E$201,D2:D201),2,0)</f>
        <v>103</v>
      </c>
    </row>
    <row r="18" spans="1:17" x14ac:dyDescent="0.3">
      <c r="A18" s="14">
        <v>17</v>
      </c>
      <c r="B18" s="14" t="s">
        <v>9</v>
      </c>
      <c r="C18" s="14">
        <v>35</v>
      </c>
      <c r="D18" s="14">
        <v>21</v>
      </c>
      <c r="E18" s="14">
        <v>35</v>
      </c>
      <c r="F18" t="str">
        <f t="shared" si="0"/>
        <v>Female21</v>
      </c>
      <c r="G18" t="str">
        <f t="shared" si="1"/>
        <v>Female35</v>
      </c>
    </row>
    <row r="19" spans="1:17" x14ac:dyDescent="0.3">
      <c r="A19" s="14">
        <v>18</v>
      </c>
      <c r="B19" s="14" t="s">
        <v>5</v>
      </c>
      <c r="C19" s="14">
        <v>20</v>
      </c>
      <c r="D19" s="14">
        <v>21</v>
      </c>
      <c r="E19" s="14">
        <v>66</v>
      </c>
      <c r="F19" t="str">
        <f t="shared" si="0"/>
        <v>Male21</v>
      </c>
      <c r="G19" t="str">
        <f t="shared" si="1"/>
        <v>Male20</v>
      </c>
    </row>
    <row r="20" spans="1:17" x14ac:dyDescent="0.3">
      <c r="A20" s="14">
        <v>19</v>
      </c>
      <c r="B20" s="14" t="s">
        <v>5</v>
      </c>
      <c r="C20" s="14">
        <v>52</v>
      </c>
      <c r="D20" s="14">
        <v>23</v>
      </c>
      <c r="E20" s="14">
        <v>29</v>
      </c>
      <c r="F20" t="str">
        <f t="shared" si="0"/>
        <v>Male23</v>
      </c>
      <c r="G20" t="str">
        <f t="shared" si="1"/>
        <v>Male52</v>
      </c>
      <c r="K20" s="12" t="s">
        <v>191</v>
      </c>
      <c r="L20" s="12"/>
      <c r="M20" s="12"/>
      <c r="N20" s="12"/>
      <c r="Q20" t="s">
        <v>182</v>
      </c>
    </row>
    <row r="21" spans="1:17" x14ac:dyDescent="0.3">
      <c r="A21" s="14">
        <v>20</v>
      </c>
      <c r="B21" s="14" t="s">
        <v>9</v>
      </c>
      <c r="C21" s="14">
        <v>35</v>
      </c>
      <c r="D21" s="14">
        <v>23</v>
      </c>
      <c r="E21" s="14">
        <v>98</v>
      </c>
      <c r="F21" t="str">
        <f t="shared" si="0"/>
        <v>Female23</v>
      </c>
      <c r="G21" t="str">
        <f t="shared" si="1"/>
        <v>Female35</v>
      </c>
    </row>
    <row r="22" spans="1:17" x14ac:dyDescent="0.3">
      <c r="A22" s="14">
        <v>21</v>
      </c>
      <c r="B22" s="14" t="s">
        <v>5</v>
      </c>
      <c r="C22" s="14">
        <v>35</v>
      </c>
      <c r="D22" s="14">
        <v>24</v>
      </c>
      <c r="E22" s="14">
        <v>300</v>
      </c>
      <c r="F22" t="str">
        <f t="shared" si="0"/>
        <v>Male24</v>
      </c>
      <c r="G22" t="str">
        <f t="shared" si="1"/>
        <v>Male35</v>
      </c>
      <c r="M22">
        <f>VLOOKUP("Male35",CHOOSE({1,2},G2:G201,E2:E201),2,0)</f>
        <v>300</v>
      </c>
    </row>
    <row r="23" spans="1:17" x14ac:dyDescent="0.3">
      <c r="A23" s="14">
        <v>22</v>
      </c>
      <c r="B23" s="14" t="s">
        <v>5</v>
      </c>
      <c r="C23" s="14">
        <v>25</v>
      </c>
      <c r="D23" s="14">
        <v>24</v>
      </c>
      <c r="E23" s="14">
        <v>73</v>
      </c>
      <c r="F23" t="str">
        <f t="shared" si="0"/>
        <v>Male24</v>
      </c>
      <c r="G23" t="str">
        <f t="shared" si="1"/>
        <v>Male25</v>
      </c>
    </row>
    <row r="24" spans="1:17" x14ac:dyDescent="0.3">
      <c r="A24" s="14">
        <v>23</v>
      </c>
      <c r="B24" s="14" t="s">
        <v>9</v>
      </c>
      <c r="C24" s="14">
        <v>46</v>
      </c>
      <c r="D24" s="14">
        <v>25</v>
      </c>
      <c r="E24" s="14">
        <v>5</v>
      </c>
      <c r="F24" t="str">
        <f t="shared" si="0"/>
        <v>Female25</v>
      </c>
      <c r="G24" t="str">
        <f t="shared" si="1"/>
        <v>Female46</v>
      </c>
    </row>
    <row r="25" spans="1:17" x14ac:dyDescent="0.3">
      <c r="A25" s="14">
        <v>24</v>
      </c>
      <c r="B25" s="14" t="s">
        <v>5</v>
      </c>
      <c r="C25" s="14">
        <v>31</v>
      </c>
      <c r="D25" s="14">
        <v>25</v>
      </c>
      <c r="E25" s="14">
        <v>73</v>
      </c>
      <c r="F25" t="str">
        <f t="shared" si="0"/>
        <v>Male25</v>
      </c>
      <c r="G25" t="str">
        <f t="shared" si="1"/>
        <v>Male31</v>
      </c>
    </row>
    <row r="26" spans="1:17" x14ac:dyDescent="0.3">
      <c r="A26" s="14">
        <v>25</v>
      </c>
      <c r="B26" s="14" t="s">
        <v>9</v>
      </c>
      <c r="C26" s="14">
        <v>54</v>
      </c>
      <c r="D26" s="14">
        <v>28</v>
      </c>
      <c r="E26" s="14">
        <v>14</v>
      </c>
      <c r="F26" t="str">
        <f t="shared" si="0"/>
        <v>Female28</v>
      </c>
      <c r="G26" t="str">
        <f t="shared" si="1"/>
        <v>Female54</v>
      </c>
    </row>
    <row r="27" spans="1:17" x14ac:dyDescent="0.3">
      <c r="A27" s="14">
        <v>26</v>
      </c>
      <c r="B27" s="14" t="s">
        <v>5</v>
      </c>
      <c r="C27" s="14">
        <v>29</v>
      </c>
      <c r="D27" s="14">
        <v>28</v>
      </c>
      <c r="E27" s="14">
        <v>82</v>
      </c>
      <c r="F27" t="str">
        <f t="shared" si="0"/>
        <v>Male28</v>
      </c>
      <c r="G27" t="str">
        <f t="shared" si="1"/>
        <v>Male29</v>
      </c>
    </row>
    <row r="28" spans="1:17" x14ac:dyDescent="0.3">
      <c r="A28" s="14">
        <v>27</v>
      </c>
      <c r="B28" s="14" t="s">
        <v>9</v>
      </c>
      <c r="C28" s="14">
        <v>45</v>
      </c>
      <c r="D28" s="14">
        <v>28</v>
      </c>
      <c r="E28" s="14">
        <v>32</v>
      </c>
      <c r="F28" t="str">
        <f t="shared" si="0"/>
        <v>Female28</v>
      </c>
      <c r="G28" t="str">
        <f t="shared" si="1"/>
        <v>Female45</v>
      </c>
    </row>
    <row r="29" spans="1:17" x14ac:dyDescent="0.3">
      <c r="A29" s="14">
        <v>28</v>
      </c>
      <c r="B29" s="14" t="s">
        <v>5</v>
      </c>
      <c r="C29" s="14">
        <v>35</v>
      </c>
      <c r="D29" s="14">
        <v>28</v>
      </c>
      <c r="E29" s="14">
        <v>61</v>
      </c>
      <c r="F29" t="str">
        <f t="shared" si="0"/>
        <v>Male28</v>
      </c>
      <c r="G29" t="str">
        <f t="shared" si="1"/>
        <v>Male35</v>
      </c>
    </row>
    <row r="30" spans="1:17" x14ac:dyDescent="0.3">
      <c r="A30" s="14">
        <v>29</v>
      </c>
      <c r="B30" s="14" t="s">
        <v>9</v>
      </c>
      <c r="C30" s="14">
        <v>40</v>
      </c>
      <c r="D30" s="14">
        <v>29</v>
      </c>
      <c r="E30" s="14">
        <v>31</v>
      </c>
      <c r="F30" t="str">
        <f t="shared" si="0"/>
        <v>Female29</v>
      </c>
      <c r="G30" t="str">
        <f t="shared" si="1"/>
        <v>Female40</v>
      </c>
    </row>
    <row r="31" spans="1:17" x14ac:dyDescent="0.3">
      <c r="A31" s="14">
        <v>30</v>
      </c>
      <c r="B31" s="14" t="s">
        <v>9</v>
      </c>
      <c r="C31" s="14">
        <v>23</v>
      </c>
      <c r="D31" s="14">
        <v>29</v>
      </c>
      <c r="E31" s="14">
        <v>87</v>
      </c>
      <c r="F31" t="str">
        <f t="shared" si="0"/>
        <v>Female29</v>
      </c>
      <c r="G31" t="str">
        <f t="shared" si="1"/>
        <v>Female23</v>
      </c>
    </row>
    <row r="32" spans="1:17" x14ac:dyDescent="0.3">
      <c r="A32" s="14">
        <v>31</v>
      </c>
      <c r="B32" s="14" t="s">
        <v>5</v>
      </c>
      <c r="C32" s="14">
        <v>60</v>
      </c>
      <c r="D32" s="14">
        <v>30</v>
      </c>
      <c r="E32" s="14">
        <v>4</v>
      </c>
      <c r="F32" t="str">
        <f t="shared" si="0"/>
        <v>Male30</v>
      </c>
      <c r="G32" t="str">
        <f t="shared" si="1"/>
        <v>Male60</v>
      </c>
    </row>
    <row r="33" spans="1:7" x14ac:dyDescent="0.3">
      <c r="A33" s="14">
        <v>32</v>
      </c>
      <c r="B33" s="14" t="s">
        <v>9</v>
      </c>
      <c r="C33" s="14">
        <v>21</v>
      </c>
      <c r="D33" s="14">
        <v>30</v>
      </c>
      <c r="E33" s="14">
        <v>73</v>
      </c>
      <c r="F33" t="str">
        <f t="shared" si="0"/>
        <v>Female30</v>
      </c>
      <c r="G33" t="str">
        <f t="shared" si="1"/>
        <v>Female21</v>
      </c>
    </row>
    <row r="34" spans="1:7" x14ac:dyDescent="0.3">
      <c r="A34" s="14">
        <v>33</v>
      </c>
      <c r="B34" s="14" t="s">
        <v>5</v>
      </c>
      <c r="C34" s="14">
        <v>53</v>
      </c>
      <c r="D34" s="14">
        <v>33</v>
      </c>
      <c r="E34" s="14">
        <v>4</v>
      </c>
      <c r="F34" t="str">
        <f t="shared" si="0"/>
        <v>Male33</v>
      </c>
      <c r="G34" t="str">
        <f t="shared" si="1"/>
        <v>Male53</v>
      </c>
    </row>
    <row r="35" spans="1:7" x14ac:dyDescent="0.3">
      <c r="A35" s="14">
        <v>34</v>
      </c>
      <c r="B35" s="14" t="s">
        <v>5</v>
      </c>
      <c r="C35" s="14">
        <v>18</v>
      </c>
      <c r="D35" s="14">
        <v>33</v>
      </c>
      <c r="E35" s="14">
        <v>92</v>
      </c>
      <c r="F35" t="str">
        <f t="shared" si="0"/>
        <v>Male33</v>
      </c>
      <c r="G35" t="str">
        <f t="shared" si="1"/>
        <v>Male18</v>
      </c>
    </row>
    <row r="36" spans="1:7" x14ac:dyDescent="0.3">
      <c r="A36" s="14">
        <v>35</v>
      </c>
      <c r="B36" s="14" t="s">
        <v>9</v>
      </c>
      <c r="C36" s="14">
        <v>49</v>
      </c>
      <c r="D36" s="14">
        <v>33</v>
      </c>
      <c r="E36" s="14">
        <v>14</v>
      </c>
      <c r="F36" t="str">
        <f t="shared" si="0"/>
        <v>Female33</v>
      </c>
      <c r="G36" t="str">
        <f t="shared" si="1"/>
        <v>Female49</v>
      </c>
    </row>
    <row r="37" spans="1:7" x14ac:dyDescent="0.3">
      <c r="A37" s="14">
        <v>36</v>
      </c>
      <c r="B37" s="14" t="s">
        <v>9</v>
      </c>
      <c r="C37" s="14">
        <v>21</v>
      </c>
      <c r="D37" s="14">
        <v>33</v>
      </c>
      <c r="E37" s="14">
        <v>81</v>
      </c>
      <c r="F37" t="str">
        <f t="shared" si="0"/>
        <v>Female33</v>
      </c>
      <c r="G37" t="str">
        <f t="shared" si="1"/>
        <v>Female21</v>
      </c>
    </row>
    <row r="38" spans="1:7" x14ac:dyDescent="0.3">
      <c r="A38" s="14">
        <v>37</v>
      </c>
      <c r="B38" s="14" t="s">
        <v>9</v>
      </c>
      <c r="C38" s="14">
        <v>42</v>
      </c>
      <c r="D38" s="14">
        <v>34</v>
      </c>
      <c r="E38" s="14">
        <v>17</v>
      </c>
      <c r="F38" t="str">
        <f t="shared" si="0"/>
        <v>Female34</v>
      </c>
      <c r="G38" t="str">
        <f t="shared" si="1"/>
        <v>Female42</v>
      </c>
    </row>
    <row r="39" spans="1:7" x14ac:dyDescent="0.3">
      <c r="A39" s="14">
        <v>38</v>
      </c>
      <c r="B39" s="14" t="s">
        <v>9</v>
      </c>
      <c r="C39" s="14">
        <v>30</v>
      </c>
      <c r="D39" s="14">
        <v>34</v>
      </c>
      <c r="E39" s="14">
        <v>73</v>
      </c>
      <c r="F39" t="str">
        <f t="shared" si="0"/>
        <v>Female34</v>
      </c>
      <c r="G39" t="str">
        <f t="shared" si="1"/>
        <v>Female30</v>
      </c>
    </row>
    <row r="40" spans="1:7" x14ac:dyDescent="0.3">
      <c r="A40" s="14">
        <v>39</v>
      </c>
      <c r="B40" s="14" t="s">
        <v>9</v>
      </c>
      <c r="C40" s="14">
        <v>36</v>
      </c>
      <c r="D40" s="14">
        <v>37</v>
      </c>
      <c r="E40" s="14">
        <v>26</v>
      </c>
      <c r="F40" t="str">
        <f t="shared" si="0"/>
        <v>Female37</v>
      </c>
      <c r="G40" t="str">
        <f t="shared" si="1"/>
        <v>Female36</v>
      </c>
    </row>
    <row r="41" spans="1:7" x14ac:dyDescent="0.3">
      <c r="A41" s="14">
        <v>40</v>
      </c>
      <c r="B41" s="14" t="s">
        <v>9</v>
      </c>
      <c r="C41" s="14">
        <v>20</v>
      </c>
      <c r="D41" s="14">
        <v>37</v>
      </c>
      <c r="E41" s="14">
        <v>75</v>
      </c>
      <c r="F41" t="str">
        <f t="shared" si="0"/>
        <v>Female37</v>
      </c>
      <c r="G41" t="str">
        <f t="shared" si="1"/>
        <v>Female20</v>
      </c>
    </row>
    <row r="42" spans="1:7" x14ac:dyDescent="0.3">
      <c r="A42" s="14">
        <v>41</v>
      </c>
      <c r="B42" s="14" t="s">
        <v>9</v>
      </c>
      <c r="C42" s="14">
        <v>65</v>
      </c>
      <c r="D42" s="14">
        <v>38</v>
      </c>
      <c r="E42" s="14">
        <v>35</v>
      </c>
      <c r="F42" t="str">
        <f t="shared" si="0"/>
        <v>Female38</v>
      </c>
      <c r="G42" t="str">
        <f t="shared" si="1"/>
        <v>Female65</v>
      </c>
    </row>
    <row r="43" spans="1:7" x14ac:dyDescent="0.3">
      <c r="A43" s="14">
        <v>42</v>
      </c>
      <c r="B43" s="14" t="s">
        <v>5</v>
      </c>
      <c r="C43" s="14">
        <v>24</v>
      </c>
      <c r="D43" s="14">
        <v>38</v>
      </c>
      <c r="E43" s="14">
        <v>92</v>
      </c>
      <c r="F43" t="str">
        <f t="shared" si="0"/>
        <v>Male38</v>
      </c>
      <c r="G43" t="str">
        <f t="shared" si="1"/>
        <v>Male24</v>
      </c>
    </row>
    <row r="44" spans="1:7" x14ac:dyDescent="0.3">
      <c r="A44" s="14">
        <v>43</v>
      </c>
      <c r="B44" s="14" t="s">
        <v>5</v>
      </c>
      <c r="C44" s="14">
        <v>48</v>
      </c>
      <c r="D44" s="14">
        <v>39</v>
      </c>
      <c r="E44" s="14">
        <v>36</v>
      </c>
      <c r="F44" t="str">
        <f t="shared" si="0"/>
        <v>Male39</v>
      </c>
      <c r="G44" t="str">
        <f t="shared" si="1"/>
        <v>Male48</v>
      </c>
    </row>
    <row r="45" spans="1:7" x14ac:dyDescent="0.3">
      <c r="A45" s="14">
        <v>44</v>
      </c>
      <c r="B45" s="14" t="s">
        <v>9</v>
      </c>
      <c r="C45" s="14">
        <v>31</v>
      </c>
      <c r="D45" s="14">
        <v>39</v>
      </c>
      <c r="E45" s="14">
        <v>61</v>
      </c>
      <c r="F45" t="str">
        <f t="shared" si="0"/>
        <v>Female39</v>
      </c>
      <c r="G45" t="str">
        <f t="shared" si="1"/>
        <v>Female31</v>
      </c>
    </row>
    <row r="46" spans="1:7" x14ac:dyDescent="0.3">
      <c r="A46" s="14">
        <v>45</v>
      </c>
      <c r="B46" s="14" t="s">
        <v>9</v>
      </c>
      <c r="C46" s="14">
        <v>49</v>
      </c>
      <c r="D46" s="14">
        <v>39</v>
      </c>
      <c r="E46" s="14">
        <v>28</v>
      </c>
      <c r="F46" t="str">
        <f t="shared" si="0"/>
        <v>Female39</v>
      </c>
      <c r="G46" t="str">
        <f t="shared" si="1"/>
        <v>Female49</v>
      </c>
    </row>
    <row r="47" spans="1:7" x14ac:dyDescent="0.3">
      <c r="A47" s="14">
        <v>46</v>
      </c>
      <c r="B47" s="14" t="s">
        <v>9</v>
      </c>
      <c r="C47" s="14">
        <v>24</v>
      </c>
      <c r="D47" s="14">
        <v>39</v>
      </c>
      <c r="E47" s="14">
        <v>65</v>
      </c>
      <c r="F47" t="str">
        <f t="shared" si="0"/>
        <v>Female39</v>
      </c>
      <c r="G47" t="str">
        <f t="shared" si="1"/>
        <v>Female24</v>
      </c>
    </row>
    <row r="48" spans="1:7" x14ac:dyDescent="0.3">
      <c r="A48" s="14">
        <v>47</v>
      </c>
      <c r="B48" s="14" t="s">
        <v>9</v>
      </c>
      <c r="C48" s="14">
        <v>50</v>
      </c>
      <c r="D48" s="14">
        <v>40</v>
      </c>
      <c r="E48" s="14">
        <v>55</v>
      </c>
      <c r="F48" t="str">
        <f t="shared" si="0"/>
        <v>Female40</v>
      </c>
      <c r="G48" t="str">
        <f t="shared" si="1"/>
        <v>Female50</v>
      </c>
    </row>
    <row r="49" spans="1:7" x14ac:dyDescent="0.3">
      <c r="A49" s="14">
        <v>48</v>
      </c>
      <c r="B49" s="14" t="s">
        <v>9</v>
      </c>
      <c r="C49" s="14">
        <v>27</v>
      </c>
      <c r="D49" s="14">
        <v>40</v>
      </c>
      <c r="E49" s="14">
        <v>47</v>
      </c>
      <c r="F49" t="str">
        <f t="shared" si="0"/>
        <v>Female40</v>
      </c>
      <c r="G49" t="str">
        <f t="shared" si="1"/>
        <v>Female27</v>
      </c>
    </row>
    <row r="50" spans="1:7" x14ac:dyDescent="0.3">
      <c r="A50" s="14">
        <v>49</v>
      </c>
      <c r="B50" s="14" t="s">
        <v>9</v>
      </c>
      <c r="C50" s="14">
        <v>29</v>
      </c>
      <c r="D50" s="14">
        <v>40</v>
      </c>
      <c r="E50" s="14">
        <v>42</v>
      </c>
      <c r="F50" t="str">
        <f t="shared" si="0"/>
        <v>Female40</v>
      </c>
      <c r="G50" t="str">
        <f t="shared" si="1"/>
        <v>Female29</v>
      </c>
    </row>
    <row r="51" spans="1:7" x14ac:dyDescent="0.3">
      <c r="A51" s="14">
        <v>50</v>
      </c>
      <c r="B51" s="14" t="s">
        <v>9</v>
      </c>
      <c r="C51" s="14">
        <v>31</v>
      </c>
      <c r="D51" s="14">
        <v>40</v>
      </c>
      <c r="E51" s="14">
        <v>42</v>
      </c>
      <c r="F51" t="str">
        <f t="shared" si="0"/>
        <v>Female40</v>
      </c>
      <c r="G51" t="str">
        <f t="shared" si="1"/>
        <v>Female31</v>
      </c>
    </row>
    <row r="52" spans="1:7" x14ac:dyDescent="0.3">
      <c r="A52" s="14">
        <v>51</v>
      </c>
      <c r="B52" s="14" t="s">
        <v>9</v>
      </c>
      <c r="C52" s="14">
        <v>49</v>
      </c>
      <c r="D52" s="14">
        <v>42</v>
      </c>
      <c r="E52" s="14">
        <v>52</v>
      </c>
      <c r="F52" t="str">
        <f t="shared" si="0"/>
        <v>Female42</v>
      </c>
      <c r="G52" t="str">
        <f t="shared" si="1"/>
        <v>Female49</v>
      </c>
    </row>
    <row r="53" spans="1:7" x14ac:dyDescent="0.3">
      <c r="A53" s="14">
        <v>52</v>
      </c>
      <c r="B53" s="14" t="s">
        <v>5</v>
      </c>
      <c r="C53" s="14">
        <v>33</v>
      </c>
      <c r="D53" s="14">
        <v>42</v>
      </c>
      <c r="E53" s="14">
        <v>60</v>
      </c>
      <c r="F53" t="str">
        <f t="shared" si="0"/>
        <v>Male42</v>
      </c>
      <c r="G53" t="str">
        <f t="shared" si="1"/>
        <v>Male33</v>
      </c>
    </row>
    <row r="54" spans="1:7" x14ac:dyDescent="0.3">
      <c r="A54" s="14">
        <v>53</v>
      </c>
      <c r="B54" s="14" t="s">
        <v>9</v>
      </c>
      <c r="C54" s="14">
        <v>31</v>
      </c>
      <c r="D54" s="14">
        <v>43</v>
      </c>
      <c r="E54" s="14">
        <v>54</v>
      </c>
      <c r="F54" t="str">
        <f t="shared" si="0"/>
        <v>Female43</v>
      </c>
      <c r="G54" t="str">
        <f t="shared" si="1"/>
        <v>Female31</v>
      </c>
    </row>
    <row r="55" spans="1:7" x14ac:dyDescent="0.3">
      <c r="A55" s="14">
        <v>54</v>
      </c>
      <c r="B55" s="14" t="s">
        <v>5</v>
      </c>
      <c r="C55" s="14">
        <v>59</v>
      </c>
      <c r="D55" s="14">
        <v>43</v>
      </c>
      <c r="E55" s="14">
        <v>60</v>
      </c>
      <c r="F55" t="str">
        <f t="shared" si="0"/>
        <v>Male43</v>
      </c>
      <c r="G55" t="str">
        <f t="shared" si="1"/>
        <v>Male59</v>
      </c>
    </row>
    <row r="56" spans="1:7" x14ac:dyDescent="0.3">
      <c r="A56" s="14">
        <v>55</v>
      </c>
      <c r="B56" s="14" t="s">
        <v>9</v>
      </c>
      <c r="C56" s="14">
        <v>50</v>
      </c>
      <c r="D56" s="14">
        <v>43</v>
      </c>
      <c r="E56" s="14">
        <v>45</v>
      </c>
      <c r="F56" t="str">
        <f t="shared" si="0"/>
        <v>Female43</v>
      </c>
      <c r="G56" t="str">
        <f t="shared" si="1"/>
        <v>Female50</v>
      </c>
    </row>
    <row r="57" spans="1:7" x14ac:dyDescent="0.3">
      <c r="A57" s="14">
        <v>56</v>
      </c>
      <c r="B57" s="14" t="s">
        <v>5</v>
      </c>
      <c r="C57" s="14">
        <v>47</v>
      </c>
      <c r="D57" s="14">
        <v>43</v>
      </c>
      <c r="E57" s="14">
        <v>41</v>
      </c>
      <c r="F57" t="str">
        <f t="shared" si="0"/>
        <v>Male43</v>
      </c>
      <c r="G57" t="str">
        <f t="shared" si="1"/>
        <v>Male47</v>
      </c>
    </row>
    <row r="58" spans="1:7" x14ac:dyDescent="0.3">
      <c r="A58" s="14">
        <v>57</v>
      </c>
      <c r="B58" s="14" t="s">
        <v>9</v>
      </c>
      <c r="C58" s="14">
        <v>51</v>
      </c>
      <c r="D58" s="14">
        <v>44</v>
      </c>
      <c r="E58" s="14">
        <v>50</v>
      </c>
      <c r="F58" t="str">
        <f t="shared" si="0"/>
        <v>Female44</v>
      </c>
      <c r="G58" t="str">
        <f t="shared" si="1"/>
        <v>Female51</v>
      </c>
    </row>
    <row r="59" spans="1:7" x14ac:dyDescent="0.3">
      <c r="A59" s="14">
        <v>58</v>
      </c>
      <c r="B59" s="14" t="s">
        <v>5</v>
      </c>
      <c r="C59" s="14">
        <v>69</v>
      </c>
      <c r="D59" s="14">
        <v>44</v>
      </c>
      <c r="E59" s="14">
        <v>46</v>
      </c>
      <c r="F59" t="str">
        <f t="shared" si="0"/>
        <v>Male44</v>
      </c>
      <c r="G59" t="str">
        <f t="shared" si="1"/>
        <v>Male69</v>
      </c>
    </row>
    <row r="60" spans="1:7" x14ac:dyDescent="0.3">
      <c r="A60" s="14">
        <v>59</v>
      </c>
      <c r="B60" s="14" t="s">
        <v>9</v>
      </c>
      <c r="C60" s="14">
        <v>27</v>
      </c>
      <c r="D60" s="14">
        <v>46</v>
      </c>
      <c r="E60" s="14">
        <v>51</v>
      </c>
      <c r="F60" t="str">
        <f t="shared" si="0"/>
        <v>Female46</v>
      </c>
      <c r="G60" t="str">
        <f t="shared" si="1"/>
        <v>Female27</v>
      </c>
    </row>
    <row r="61" spans="1:7" x14ac:dyDescent="0.3">
      <c r="A61" s="14">
        <v>60</v>
      </c>
      <c r="B61" s="14" t="s">
        <v>5</v>
      </c>
      <c r="C61" s="14">
        <v>53</v>
      </c>
      <c r="D61" s="14">
        <v>46</v>
      </c>
      <c r="E61" s="14">
        <v>46</v>
      </c>
      <c r="F61" t="str">
        <f t="shared" si="0"/>
        <v>Male46</v>
      </c>
      <c r="G61" t="str">
        <f t="shared" si="1"/>
        <v>Male53</v>
      </c>
    </row>
    <row r="62" spans="1:7" x14ac:dyDescent="0.3">
      <c r="A62" s="14">
        <v>61</v>
      </c>
      <c r="B62" s="14" t="s">
        <v>5</v>
      </c>
      <c r="C62" s="14">
        <v>70</v>
      </c>
      <c r="D62" s="14">
        <v>46</v>
      </c>
      <c r="E62" s="14">
        <v>56</v>
      </c>
      <c r="F62" t="str">
        <f t="shared" si="0"/>
        <v>Male46</v>
      </c>
      <c r="G62" t="str">
        <f t="shared" si="1"/>
        <v>Male70</v>
      </c>
    </row>
    <row r="63" spans="1:7" x14ac:dyDescent="0.3">
      <c r="A63" s="14">
        <v>62</v>
      </c>
      <c r="B63" s="14" t="s">
        <v>5</v>
      </c>
      <c r="C63" s="14">
        <v>19</v>
      </c>
      <c r="D63" s="14">
        <v>46</v>
      </c>
      <c r="E63" s="14">
        <v>55</v>
      </c>
      <c r="F63" t="str">
        <f t="shared" si="0"/>
        <v>Male46</v>
      </c>
      <c r="G63" t="str">
        <f t="shared" si="1"/>
        <v>Male19</v>
      </c>
    </row>
    <row r="64" spans="1:7" x14ac:dyDescent="0.3">
      <c r="A64" s="14">
        <v>63</v>
      </c>
      <c r="B64" s="14" t="s">
        <v>9</v>
      </c>
      <c r="C64" s="14">
        <v>67</v>
      </c>
      <c r="D64" s="14">
        <v>47</v>
      </c>
      <c r="E64" s="14">
        <v>52</v>
      </c>
      <c r="F64" t="str">
        <f t="shared" si="0"/>
        <v>Female47</v>
      </c>
      <c r="G64" t="str">
        <f t="shared" si="1"/>
        <v>Female67</v>
      </c>
    </row>
    <row r="65" spans="1:7" x14ac:dyDescent="0.3">
      <c r="A65" s="14">
        <v>64</v>
      </c>
      <c r="B65" s="14" t="s">
        <v>9</v>
      </c>
      <c r="C65" s="14">
        <v>54</v>
      </c>
      <c r="D65" s="14">
        <v>47</v>
      </c>
      <c r="E65" s="14">
        <v>59</v>
      </c>
      <c r="F65" t="str">
        <f t="shared" si="0"/>
        <v>Female47</v>
      </c>
      <c r="G65" t="str">
        <f t="shared" si="1"/>
        <v>Female54</v>
      </c>
    </row>
    <row r="66" spans="1:7" x14ac:dyDescent="0.3">
      <c r="A66" s="14">
        <v>65</v>
      </c>
      <c r="B66" s="14" t="s">
        <v>5</v>
      </c>
      <c r="C66" s="14">
        <v>63</v>
      </c>
      <c r="D66" s="14">
        <v>48</v>
      </c>
      <c r="E66" s="14">
        <v>51</v>
      </c>
      <c r="F66" t="str">
        <f t="shared" si="0"/>
        <v>Male48</v>
      </c>
      <c r="G66" t="str">
        <f t="shared" si="1"/>
        <v>Male63</v>
      </c>
    </row>
    <row r="67" spans="1:7" x14ac:dyDescent="0.3">
      <c r="A67" s="14">
        <v>66</v>
      </c>
      <c r="B67" s="14" t="s">
        <v>5</v>
      </c>
      <c r="C67" s="14">
        <v>18</v>
      </c>
      <c r="D67" s="14">
        <v>48</v>
      </c>
      <c r="E67" s="14">
        <v>59</v>
      </c>
      <c r="F67" t="str">
        <f t="shared" ref="F67:F130" si="2">_xlfn.CONCAT(B67,D67)</f>
        <v>Male48</v>
      </c>
      <c r="G67" t="str">
        <f t="shared" ref="G67:G130" si="3">_xlfn.CONCAT(B67,C67)</f>
        <v>Male18</v>
      </c>
    </row>
    <row r="68" spans="1:7" x14ac:dyDescent="0.3">
      <c r="A68" s="14">
        <v>67</v>
      </c>
      <c r="B68" s="14" t="s">
        <v>9</v>
      </c>
      <c r="C68" s="14">
        <v>43</v>
      </c>
      <c r="D68" s="14">
        <v>48</v>
      </c>
      <c r="E68" s="14">
        <v>50</v>
      </c>
      <c r="F68" t="str">
        <f t="shared" si="2"/>
        <v>Female48</v>
      </c>
      <c r="G68" t="str">
        <f t="shared" si="3"/>
        <v>Female43</v>
      </c>
    </row>
    <row r="69" spans="1:7" x14ac:dyDescent="0.3">
      <c r="A69" s="14">
        <v>68</v>
      </c>
      <c r="B69" s="14" t="s">
        <v>9</v>
      </c>
      <c r="C69" s="14">
        <v>68</v>
      </c>
      <c r="D69" s="14">
        <v>48</v>
      </c>
      <c r="E69" s="14">
        <v>48</v>
      </c>
      <c r="F69" t="str">
        <f t="shared" si="2"/>
        <v>Female48</v>
      </c>
      <c r="G69" t="str">
        <f t="shared" si="3"/>
        <v>Female68</v>
      </c>
    </row>
    <row r="70" spans="1:7" x14ac:dyDescent="0.3">
      <c r="A70" s="14">
        <v>69</v>
      </c>
      <c r="B70" s="14" t="s">
        <v>5</v>
      </c>
      <c r="C70" s="14">
        <v>19</v>
      </c>
      <c r="D70" s="14">
        <v>48</v>
      </c>
      <c r="E70" s="14">
        <v>59</v>
      </c>
      <c r="F70" t="str">
        <f t="shared" si="2"/>
        <v>Male48</v>
      </c>
      <c r="G70" t="str">
        <f t="shared" si="3"/>
        <v>Male19</v>
      </c>
    </row>
    <row r="71" spans="1:7" x14ac:dyDescent="0.3">
      <c r="A71" s="14">
        <v>70</v>
      </c>
      <c r="B71" s="14" t="s">
        <v>9</v>
      </c>
      <c r="C71" s="14">
        <v>32</v>
      </c>
      <c r="D71" s="14">
        <v>48</v>
      </c>
      <c r="E71" s="14">
        <v>47</v>
      </c>
      <c r="F71" t="str">
        <f t="shared" si="2"/>
        <v>Female48</v>
      </c>
      <c r="G71" t="str">
        <f t="shared" si="3"/>
        <v>Female32</v>
      </c>
    </row>
    <row r="72" spans="1:7" x14ac:dyDescent="0.3">
      <c r="A72" s="14">
        <v>71</v>
      </c>
      <c r="B72" s="14" t="s">
        <v>5</v>
      </c>
      <c r="C72" s="14">
        <v>70</v>
      </c>
      <c r="D72" s="14">
        <v>49</v>
      </c>
      <c r="E72" s="14">
        <v>55</v>
      </c>
      <c r="F72" t="str">
        <f t="shared" si="2"/>
        <v>Male49</v>
      </c>
      <c r="G72" t="str">
        <f t="shared" si="3"/>
        <v>Male70</v>
      </c>
    </row>
    <row r="73" spans="1:7" x14ac:dyDescent="0.3">
      <c r="A73" s="14">
        <v>72</v>
      </c>
      <c r="B73" s="14" t="s">
        <v>9</v>
      </c>
      <c r="C73" s="14">
        <v>47</v>
      </c>
      <c r="D73" s="14">
        <v>49</v>
      </c>
      <c r="E73" s="14">
        <v>42</v>
      </c>
      <c r="F73" t="str">
        <f t="shared" si="2"/>
        <v>Female49</v>
      </c>
      <c r="G73" t="str">
        <f t="shared" si="3"/>
        <v>Female47</v>
      </c>
    </row>
    <row r="74" spans="1:7" x14ac:dyDescent="0.3">
      <c r="A74" s="14">
        <v>73</v>
      </c>
      <c r="B74" s="14" t="s">
        <v>9</v>
      </c>
      <c r="C74" s="14">
        <v>60</v>
      </c>
      <c r="D74" s="14">
        <v>50</v>
      </c>
      <c r="E74" s="14">
        <v>49</v>
      </c>
      <c r="F74" t="str">
        <f t="shared" si="2"/>
        <v>Female50</v>
      </c>
      <c r="G74" t="str">
        <f t="shared" si="3"/>
        <v>Female60</v>
      </c>
    </row>
    <row r="75" spans="1:7" x14ac:dyDescent="0.3">
      <c r="A75" s="14">
        <v>74</v>
      </c>
      <c r="B75" s="14" t="s">
        <v>9</v>
      </c>
      <c r="C75" s="14">
        <v>60</v>
      </c>
      <c r="D75" s="14">
        <v>50</v>
      </c>
      <c r="E75" s="14">
        <v>56</v>
      </c>
      <c r="F75" t="str">
        <f t="shared" si="2"/>
        <v>Female50</v>
      </c>
      <c r="G75" t="str">
        <f t="shared" si="3"/>
        <v>Female60</v>
      </c>
    </row>
    <row r="76" spans="1:7" x14ac:dyDescent="0.3">
      <c r="A76" s="14">
        <v>75</v>
      </c>
      <c r="B76" s="14" t="s">
        <v>5</v>
      </c>
      <c r="C76" s="14">
        <v>59</v>
      </c>
      <c r="D76" s="14">
        <v>54</v>
      </c>
      <c r="E76" s="14">
        <v>47</v>
      </c>
      <c r="F76" t="str">
        <f t="shared" si="2"/>
        <v>Male54</v>
      </c>
      <c r="G76" t="str">
        <f t="shared" si="3"/>
        <v>Male59</v>
      </c>
    </row>
    <row r="77" spans="1:7" x14ac:dyDescent="0.3">
      <c r="A77" s="14">
        <v>76</v>
      </c>
      <c r="B77" s="14" t="s">
        <v>5</v>
      </c>
      <c r="C77" s="14">
        <v>26</v>
      </c>
      <c r="D77" s="14">
        <v>54</v>
      </c>
      <c r="E77" s="14">
        <v>54</v>
      </c>
      <c r="F77" t="str">
        <f t="shared" si="2"/>
        <v>Male54</v>
      </c>
      <c r="G77" t="str">
        <f t="shared" si="3"/>
        <v>Male26</v>
      </c>
    </row>
    <row r="78" spans="1:7" x14ac:dyDescent="0.3">
      <c r="A78" s="14">
        <v>77</v>
      </c>
      <c r="B78" s="14" t="s">
        <v>9</v>
      </c>
      <c r="C78" s="14">
        <v>45</v>
      </c>
      <c r="D78" s="14">
        <v>54</v>
      </c>
      <c r="E78" s="14">
        <v>53</v>
      </c>
      <c r="F78" t="str">
        <f t="shared" si="2"/>
        <v>Female54</v>
      </c>
      <c r="G78" t="str">
        <f t="shared" si="3"/>
        <v>Female45</v>
      </c>
    </row>
    <row r="79" spans="1:7" x14ac:dyDescent="0.3">
      <c r="A79" s="14">
        <v>78</v>
      </c>
      <c r="B79" s="14" t="s">
        <v>5</v>
      </c>
      <c r="C79" s="14">
        <v>40</v>
      </c>
      <c r="D79" s="14">
        <v>54</v>
      </c>
      <c r="E79" s="14">
        <v>48</v>
      </c>
      <c r="F79" t="str">
        <f t="shared" si="2"/>
        <v>Male54</v>
      </c>
      <c r="G79" t="str">
        <f t="shared" si="3"/>
        <v>Male40</v>
      </c>
    </row>
    <row r="80" spans="1:7" x14ac:dyDescent="0.3">
      <c r="A80" s="14">
        <v>79</v>
      </c>
      <c r="B80" s="14" t="s">
        <v>9</v>
      </c>
      <c r="C80" s="14">
        <v>23</v>
      </c>
      <c r="D80" s="14">
        <v>54</v>
      </c>
      <c r="E80" s="14">
        <v>52</v>
      </c>
      <c r="F80" t="str">
        <f t="shared" si="2"/>
        <v>Female54</v>
      </c>
      <c r="G80" t="str">
        <f t="shared" si="3"/>
        <v>Female23</v>
      </c>
    </row>
    <row r="81" spans="1:7" x14ac:dyDescent="0.3">
      <c r="A81" s="14">
        <v>80</v>
      </c>
      <c r="B81" s="14" t="s">
        <v>9</v>
      </c>
      <c r="C81" s="14">
        <v>49</v>
      </c>
      <c r="D81" s="14">
        <v>54</v>
      </c>
      <c r="E81" s="14">
        <v>42</v>
      </c>
      <c r="F81" t="str">
        <f t="shared" si="2"/>
        <v>Female54</v>
      </c>
      <c r="G81" t="str">
        <f t="shared" si="3"/>
        <v>Female49</v>
      </c>
    </row>
    <row r="82" spans="1:7" x14ac:dyDescent="0.3">
      <c r="A82" s="14">
        <v>81</v>
      </c>
      <c r="B82" s="14" t="s">
        <v>5</v>
      </c>
      <c r="C82" s="14">
        <v>57</v>
      </c>
      <c r="D82" s="14">
        <v>54</v>
      </c>
      <c r="E82" s="14">
        <v>51</v>
      </c>
      <c r="F82" t="str">
        <f t="shared" si="2"/>
        <v>Male54</v>
      </c>
      <c r="G82" t="str">
        <f t="shared" si="3"/>
        <v>Male57</v>
      </c>
    </row>
    <row r="83" spans="1:7" x14ac:dyDescent="0.3">
      <c r="A83" s="14">
        <v>82</v>
      </c>
      <c r="B83" s="14" t="s">
        <v>5</v>
      </c>
      <c r="C83" s="14">
        <v>38</v>
      </c>
      <c r="D83" s="14">
        <v>54</v>
      </c>
      <c r="E83" s="14">
        <v>55</v>
      </c>
      <c r="F83" t="str">
        <f t="shared" si="2"/>
        <v>Male54</v>
      </c>
      <c r="G83" t="str">
        <f t="shared" si="3"/>
        <v>Male38</v>
      </c>
    </row>
    <row r="84" spans="1:7" x14ac:dyDescent="0.3">
      <c r="A84" s="14">
        <v>83</v>
      </c>
      <c r="B84" s="14" t="s">
        <v>5</v>
      </c>
      <c r="C84" s="14">
        <v>67</v>
      </c>
      <c r="D84" s="14">
        <v>54</v>
      </c>
      <c r="E84" s="14">
        <v>41</v>
      </c>
      <c r="F84" t="str">
        <f t="shared" si="2"/>
        <v>Male54</v>
      </c>
      <c r="G84" t="str">
        <f t="shared" si="3"/>
        <v>Male67</v>
      </c>
    </row>
    <row r="85" spans="1:7" x14ac:dyDescent="0.3">
      <c r="A85" s="14">
        <v>84</v>
      </c>
      <c r="B85" s="14" t="s">
        <v>9</v>
      </c>
      <c r="C85" s="14">
        <v>46</v>
      </c>
      <c r="D85" s="14">
        <v>54</v>
      </c>
      <c r="E85" s="14">
        <v>44</v>
      </c>
      <c r="F85" t="str">
        <f t="shared" si="2"/>
        <v>Female54</v>
      </c>
      <c r="G85" t="str">
        <f t="shared" si="3"/>
        <v>Female46</v>
      </c>
    </row>
    <row r="86" spans="1:7" x14ac:dyDescent="0.3">
      <c r="A86" s="14">
        <v>85</v>
      </c>
      <c r="B86" s="14" t="s">
        <v>9</v>
      </c>
      <c r="C86" s="14">
        <v>21</v>
      </c>
      <c r="D86" s="14">
        <v>54</v>
      </c>
      <c r="E86" s="14">
        <v>57</v>
      </c>
      <c r="F86" t="str">
        <f t="shared" si="2"/>
        <v>Female54</v>
      </c>
      <c r="G86" t="str">
        <f t="shared" si="3"/>
        <v>Female21</v>
      </c>
    </row>
    <row r="87" spans="1:7" x14ac:dyDescent="0.3">
      <c r="A87" s="14">
        <v>86</v>
      </c>
      <c r="B87" s="14" t="s">
        <v>5</v>
      </c>
      <c r="C87" s="14">
        <v>48</v>
      </c>
      <c r="D87" s="14">
        <v>54</v>
      </c>
      <c r="E87" s="14">
        <v>46</v>
      </c>
      <c r="F87" t="str">
        <f t="shared" si="2"/>
        <v>Male54</v>
      </c>
      <c r="G87" t="str">
        <f t="shared" si="3"/>
        <v>Male48</v>
      </c>
    </row>
    <row r="88" spans="1:7" x14ac:dyDescent="0.3">
      <c r="A88" s="14">
        <v>87</v>
      </c>
      <c r="B88" s="14" t="s">
        <v>9</v>
      </c>
      <c r="C88" s="14">
        <v>55</v>
      </c>
      <c r="D88" s="14">
        <v>57</v>
      </c>
      <c r="E88" s="14">
        <v>58</v>
      </c>
      <c r="F88" t="str">
        <f t="shared" si="2"/>
        <v>Female57</v>
      </c>
      <c r="G88" t="str">
        <f t="shared" si="3"/>
        <v>Female55</v>
      </c>
    </row>
    <row r="89" spans="1:7" x14ac:dyDescent="0.3">
      <c r="A89" s="14">
        <v>88</v>
      </c>
      <c r="B89" s="14" t="s">
        <v>9</v>
      </c>
      <c r="C89" s="14">
        <v>22</v>
      </c>
      <c r="D89" s="14">
        <v>57</v>
      </c>
      <c r="E89" s="14">
        <v>55</v>
      </c>
      <c r="F89" t="str">
        <f t="shared" si="2"/>
        <v>Female57</v>
      </c>
      <c r="G89" t="str">
        <f t="shared" si="3"/>
        <v>Female22</v>
      </c>
    </row>
    <row r="90" spans="1:7" x14ac:dyDescent="0.3">
      <c r="A90" s="14">
        <v>89</v>
      </c>
      <c r="B90" s="14" t="s">
        <v>9</v>
      </c>
      <c r="C90" s="14">
        <v>34</v>
      </c>
      <c r="D90" s="14">
        <v>58</v>
      </c>
      <c r="E90" s="14">
        <v>60</v>
      </c>
      <c r="F90" t="str">
        <f t="shared" si="2"/>
        <v>Female58</v>
      </c>
      <c r="G90" t="str">
        <f t="shared" si="3"/>
        <v>Female34</v>
      </c>
    </row>
    <row r="91" spans="1:7" x14ac:dyDescent="0.3">
      <c r="A91" s="14">
        <v>90</v>
      </c>
      <c r="B91" s="14" t="s">
        <v>9</v>
      </c>
      <c r="C91" s="14">
        <v>50</v>
      </c>
      <c r="D91" s="14">
        <v>58</v>
      </c>
      <c r="E91" s="14">
        <v>46</v>
      </c>
      <c r="F91" t="str">
        <f t="shared" si="2"/>
        <v>Female58</v>
      </c>
      <c r="G91" t="str">
        <f t="shared" si="3"/>
        <v>Female50</v>
      </c>
    </row>
    <row r="92" spans="1:7" x14ac:dyDescent="0.3">
      <c r="A92" s="14">
        <v>91</v>
      </c>
      <c r="B92" s="14" t="s">
        <v>9</v>
      </c>
      <c r="C92" s="14">
        <v>68</v>
      </c>
      <c r="D92" s="14">
        <v>59</v>
      </c>
      <c r="E92" s="14">
        <v>55</v>
      </c>
      <c r="F92" t="str">
        <f t="shared" si="2"/>
        <v>Female59</v>
      </c>
      <c r="G92" t="str">
        <f t="shared" si="3"/>
        <v>Female68</v>
      </c>
    </row>
    <row r="93" spans="1:7" x14ac:dyDescent="0.3">
      <c r="A93" s="14">
        <v>92</v>
      </c>
      <c r="B93" s="14" t="s">
        <v>5</v>
      </c>
      <c r="C93" s="14">
        <v>18</v>
      </c>
      <c r="D93" s="14">
        <v>59</v>
      </c>
      <c r="E93" s="14">
        <v>41</v>
      </c>
      <c r="F93" t="str">
        <f t="shared" si="2"/>
        <v>Male59</v>
      </c>
      <c r="G93" t="str">
        <f t="shared" si="3"/>
        <v>Male18</v>
      </c>
    </row>
    <row r="94" spans="1:7" x14ac:dyDescent="0.3">
      <c r="A94" s="14">
        <v>93</v>
      </c>
      <c r="B94" s="14" t="s">
        <v>5</v>
      </c>
      <c r="C94" s="14">
        <v>48</v>
      </c>
      <c r="D94" s="14">
        <v>60</v>
      </c>
      <c r="E94" s="14">
        <v>49</v>
      </c>
      <c r="F94" t="str">
        <f t="shared" si="2"/>
        <v>Male60</v>
      </c>
      <c r="G94" t="str">
        <f t="shared" si="3"/>
        <v>Male48</v>
      </c>
    </row>
    <row r="95" spans="1:7" x14ac:dyDescent="0.3">
      <c r="A95" s="14">
        <v>94</v>
      </c>
      <c r="B95" s="14" t="s">
        <v>9</v>
      </c>
      <c r="C95" s="14">
        <v>40</v>
      </c>
      <c r="D95" s="14">
        <v>60</v>
      </c>
      <c r="E95" s="14">
        <v>40</v>
      </c>
      <c r="F95" t="str">
        <f t="shared" si="2"/>
        <v>Female60</v>
      </c>
      <c r="G95" t="str">
        <f t="shared" si="3"/>
        <v>Female40</v>
      </c>
    </row>
    <row r="96" spans="1:7" x14ac:dyDescent="0.3">
      <c r="A96" s="14">
        <v>95</v>
      </c>
      <c r="B96" s="14" t="s">
        <v>9</v>
      </c>
      <c r="C96" s="14">
        <v>32</v>
      </c>
      <c r="D96" s="14">
        <v>60</v>
      </c>
      <c r="E96" s="14">
        <v>42</v>
      </c>
      <c r="F96" t="str">
        <f t="shared" si="2"/>
        <v>Female60</v>
      </c>
      <c r="G96" t="str">
        <f t="shared" si="3"/>
        <v>Female32</v>
      </c>
    </row>
    <row r="97" spans="1:7" x14ac:dyDescent="0.3">
      <c r="A97" s="14">
        <v>96</v>
      </c>
      <c r="B97" s="14" t="s">
        <v>5</v>
      </c>
      <c r="C97" s="14">
        <v>24</v>
      </c>
      <c r="D97" s="14">
        <v>60</v>
      </c>
      <c r="E97" s="14">
        <v>52</v>
      </c>
      <c r="F97" t="str">
        <f t="shared" si="2"/>
        <v>Male60</v>
      </c>
      <c r="G97" t="str">
        <f t="shared" si="3"/>
        <v>Male24</v>
      </c>
    </row>
    <row r="98" spans="1:7" x14ac:dyDescent="0.3">
      <c r="A98" s="14">
        <v>97</v>
      </c>
      <c r="B98" s="14" t="s">
        <v>9</v>
      </c>
      <c r="C98" s="14">
        <v>47</v>
      </c>
      <c r="D98" s="14">
        <v>60</v>
      </c>
      <c r="E98" s="14">
        <v>47</v>
      </c>
      <c r="F98" t="str">
        <f t="shared" si="2"/>
        <v>Female60</v>
      </c>
      <c r="G98" t="str">
        <f t="shared" si="3"/>
        <v>Female47</v>
      </c>
    </row>
    <row r="99" spans="1:7" x14ac:dyDescent="0.3">
      <c r="A99" s="14">
        <v>98</v>
      </c>
      <c r="B99" s="14" t="s">
        <v>9</v>
      </c>
      <c r="C99" s="14">
        <v>27</v>
      </c>
      <c r="D99" s="14">
        <v>60</v>
      </c>
      <c r="E99" s="14">
        <v>50</v>
      </c>
      <c r="F99" t="str">
        <f t="shared" si="2"/>
        <v>Female60</v>
      </c>
      <c r="G99" t="str">
        <f t="shared" si="3"/>
        <v>Female27</v>
      </c>
    </row>
    <row r="100" spans="1:7" x14ac:dyDescent="0.3">
      <c r="A100" s="14">
        <v>99</v>
      </c>
      <c r="B100" s="14" t="s">
        <v>5</v>
      </c>
      <c r="C100" s="14">
        <v>48</v>
      </c>
      <c r="D100" s="14">
        <v>61</v>
      </c>
      <c r="E100" s="14">
        <v>42</v>
      </c>
      <c r="F100" t="str">
        <f t="shared" si="2"/>
        <v>Male61</v>
      </c>
      <c r="G100" t="str">
        <f t="shared" si="3"/>
        <v>Male48</v>
      </c>
    </row>
    <row r="101" spans="1:7" x14ac:dyDescent="0.3">
      <c r="A101" s="14">
        <v>100</v>
      </c>
      <c r="B101" s="14" t="s">
        <v>5</v>
      </c>
      <c r="C101" s="14">
        <v>20</v>
      </c>
      <c r="D101" s="14">
        <v>61</v>
      </c>
      <c r="E101" s="14">
        <v>49</v>
      </c>
      <c r="F101" t="str">
        <f t="shared" si="2"/>
        <v>Male61</v>
      </c>
      <c r="G101" t="str">
        <f t="shared" si="3"/>
        <v>Male20</v>
      </c>
    </row>
    <row r="102" spans="1:7" x14ac:dyDescent="0.3">
      <c r="A102" s="14">
        <v>101</v>
      </c>
      <c r="B102" s="14" t="s">
        <v>9</v>
      </c>
      <c r="C102" s="14">
        <v>23</v>
      </c>
      <c r="D102" s="14">
        <v>62</v>
      </c>
      <c r="E102" s="14">
        <v>41</v>
      </c>
      <c r="F102" t="str">
        <f t="shared" si="2"/>
        <v>Female62</v>
      </c>
      <c r="G102" t="str">
        <f t="shared" si="3"/>
        <v>Female23</v>
      </c>
    </row>
    <row r="103" spans="1:7" x14ac:dyDescent="0.3">
      <c r="A103" s="14">
        <v>102</v>
      </c>
      <c r="B103" s="14" t="s">
        <v>9</v>
      </c>
      <c r="C103" s="14">
        <v>49</v>
      </c>
      <c r="D103" s="14">
        <v>62</v>
      </c>
      <c r="E103" s="14">
        <v>48</v>
      </c>
      <c r="F103" t="str">
        <f t="shared" si="2"/>
        <v>Female62</v>
      </c>
      <c r="G103" t="str">
        <f t="shared" si="3"/>
        <v>Female49</v>
      </c>
    </row>
    <row r="104" spans="1:7" x14ac:dyDescent="0.3">
      <c r="A104" s="14">
        <v>103</v>
      </c>
      <c r="B104" s="14" t="s">
        <v>5</v>
      </c>
      <c r="C104" s="14">
        <v>67</v>
      </c>
      <c r="D104" s="14">
        <v>62</v>
      </c>
      <c r="E104" s="14">
        <v>59</v>
      </c>
      <c r="F104" t="str">
        <f t="shared" si="2"/>
        <v>Male62</v>
      </c>
      <c r="G104" t="str">
        <f t="shared" si="3"/>
        <v>Male67</v>
      </c>
    </row>
    <row r="105" spans="1:7" x14ac:dyDescent="0.3">
      <c r="A105" s="14">
        <v>104</v>
      </c>
      <c r="B105" s="14" t="s">
        <v>5</v>
      </c>
      <c r="C105" s="14">
        <v>26</v>
      </c>
      <c r="D105" s="14">
        <v>62</v>
      </c>
      <c r="E105" s="14">
        <v>55</v>
      </c>
      <c r="F105" t="str">
        <f t="shared" si="2"/>
        <v>Male62</v>
      </c>
      <c r="G105" t="str">
        <f t="shared" si="3"/>
        <v>Male26</v>
      </c>
    </row>
    <row r="106" spans="1:7" x14ac:dyDescent="0.3">
      <c r="A106" s="14">
        <v>105</v>
      </c>
      <c r="B106" s="14" t="s">
        <v>5</v>
      </c>
      <c r="C106" s="14">
        <v>49</v>
      </c>
      <c r="D106" s="14">
        <v>62</v>
      </c>
      <c r="E106" s="14">
        <v>56</v>
      </c>
      <c r="F106" t="str">
        <f t="shared" si="2"/>
        <v>Male62</v>
      </c>
      <c r="G106" t="str">
        <f t="shared" si="3"/>
        <v>Male49</v>
      </c>
    </row>
    <row r="107" spans="1:7" x14ac:dyDescent="0.3">
      <c r="A107" s="14">
        <v>106</v>
      </c>
      <c r="B107" s="14" t="s">
        <v>9</v>
      </c>
      <c r="C107" s="14">
        <v>21</v>
      </c>
      <c r="D107" s="14">
        <v>62</v>
      </c>
      <c r="E107" s="14">
        <v>42</v>
      </c>
      <c r="F107" t="str">
        <f t="shared" si="2"/>
        <v>Female62</v>
      </c>
      <c r="G107" t="str">
        <f t="shared" si="3"/>
        <v>Female21</v>
      </c>
    </row>
    <row r="108" spans="1:7" x14ac:dyDescent="0.3">
      <c r="A108" s="14">
        <v>107</v>
      </c>
      <c r="B108" s="14" t="s">
        <v>9</v>
      </c>
      <c r="C108" s="14">
        <v>66</v>
      </c>
      <c r="D108" s="14">
        <v>63</v>
      </c>
      <c r="E108" s="14">
        <v>50</v>
      </c>
      <c r="F108" t="str">
        <f t="shared" si="2"/>
        <v>Female63</v>
      </c>
      <c r="G108" t="str">
        <f t="shared" si="3"/>
        <v>Female66</v>
      </c>
    </row>
    <row r="109" spans="1:7" x14ac:dyDescent="0.3">
      <c r="A109" s="14">
        <v>108</v>
      </c>
      <c r="B109" s="14" t="s">
        <v>5</v>
      </c>
      <c r="C109" s="14">
        <v>54</v>
      </c>
      <c r="D109" s="14">
        <v>63</v>
      </c>
      <c r="E109" s="14">
        <v>46</v>
      </c>
      <c r="F109" t="str">
        <f t="shared" si="2"/>
        <v>Male63</v>
      </c>
      <c r="G109" t="str">
        <f t="shared" si="3"/>
        <v>Male54</v>
      </c>
    </row>
    <row r="110" spans="1:7" x14ac:dyDescent="0.3">
      <c r="A110" s="14">
        <v>109</v>
      </c>
      <c r="B110" s="14" t="s">
        <v>5</v>
      </c>
      <c r="C110" s="14">
        <v>68</v>
      </c>
      <c r="D110" s="14">
        <v>63</v>
      </c>
      <c r="E110" s="14">
        <v>43</v>
      </c>
      <c r="F110" t="str">
        <f t="shared" si="2"/>
        <v>Male63</v>
      </c>
      <c r="G110" t="str">
        <f t="shared" si="3"/>
        <v>Male68</v>
      </c>
    </row>
    <row r="111" spans="1:7" x14ac:dyDescent="0.3">
      <c r="A111" s="14">
        <v>110</v>
      </c>
      <c r="B111" s="14" t="s">
        <v>5</v>
      </c>
      <c r="C111" s="14">
        <v>66</v>
      </c>
      <c r="D111" s="14">
        <v>63</v>
      </c>
      <c r="E111" s="14">
        <v>48</v>
      </c>
      <c r="F111" t="str">
        <f t="shared" si="2"/>
        <v>Male63</v>
      </c>
      <c r="G111" t="str">
        <f t="shared" si="3"/>
        <v>Male66</v>
      </c>
    </row>
    <row r="112" spans="1:7" x14ac:dyDescent="0.3">
      <c r="A112" s="14">
        <v>111</v>
      </c>
      <c r="B112" s="14" t="s">
        <v>5</v>
      </c>
      <c r="C112" s="14">
        <v>65</v>
      </c>
      <c r="D112" s="14">
        <v>63</v>
      </c>
      <c r="E112" s="14">
        <v>52</v>
      </c>
      <c r="F112" t="str">
        <f t="shared" si="2"/>
        <v>Male63</v>
      </c>
      <c r="G112" t="str">
        <f t="shared" si="3"/>
        <v>Male65</v>
      </c>
    </row>
    <row r="113" spans="1:7" x14ac:dyDescent="0.3">
      <c r="A113" s="14">
        <v>112</v>
      </c>
      <c r="B113" s="14" t="s">
        <v>9</v>
      </c>
      <c r="C113" s="14">
        <v>19</v>
      </c>
      <c r="D113" s="14">
        <v>63</v>
      </c>
      <c r="E113" s="14">
        <v>54</v>
      </c>
      <c r="F113" t="str">
        <f t="shared" si="2"/>
        <v>Female63</v>
      </c>
      <c r="G113" t="str">
        <f t="shared" si="3"/>
        <v>Female19</v>
      </c>
    </row>
    <row r="114" spans="1:7" x14ac:dyDescent="0.3">
      <c r="A114" s="14">
        <v>113</v>
      </c>
      <c r="B114" s="14" t="s">
        <v>9</v>
      </c>
      <c r="C114" s="14">
        <v>38</v>
      </c>
      <c r="D114" s="14">
        <v>64</v>
      </c>
      <c r="E114" s="14">
        <v>42</v>
      </c>
      <c r="F114" t="str">
        <f t="shared" si="2"/>
        <v>Female64</v>
      </c>
      <c r="G114" t="str">
        <f t="shared" si="3"/>
        <v>Female38</v>
      </c>
    </row>
    <row r="115" spans="1:7" x14ac:dyDescent="0.3">
      <c r="A115" s="14">
        <v>114</v>
      </c>
      <c r="B115" s="14" t="s">
        <v>5</v>
      </c>
      <c r="C115" s="14">
        <v>19</v>
      </c>
      <c r="D115" s="14">
        <v>64</v>
      </c>
      <c r="E115" s="14">
        <v>46</v>
      </c>
      <c r="F115" t="str">
        <f t="shared" si="2"/>
        <v>Male64</v>
      </c>
      <c r="G115" t="str">
        <f t="shared" si="3"/>
        <v>Male19</v>
      </c>
    </row>
    <row r="116" spans="1:7" x14ac:dyDescent="0.3">
      <c r="A116" s="14">
        <v>115</v>
      </c>
      <c r="B116" s="14" t="s">
        <v>9</v>
      </c>
      <c r="C116" s="14">
        <v>18</v>
      </c>
      <c r="D116" s="14">
        <v>65</v>
      </c>
      <c r="E116" s="14">
        <v>48</v>
      </c>
      <c r="F116" t="str">
        <f t="shared" si="2"/>
        <v>Female65</v>
      </c>
      <c r="G116" t="str">
        <f t="shared" si="3"/>
        <v>Female18</v>
      </c>
    </row>
    <row r="117" spans="1:7" x14ac:dyDescent="0.3">
      <c r="A117" s="14">
        <v>116</v>
      </c>
      <c r="B117" s="14" t="s">
        <v>9</v>
      </c>
      <c r="C117" s="14">
        <v>19</v>
      </c>
      <c r="D117" s="14">
        <v>65</v>
      </c>
      <c r="E117" s="14">
        <v>50</v>
      </c>
      <c r="F117" t="str">
        <f t="shared" si="2"/>
        <v>Female65</v>
      </c>
      <c r="G117" t="str">
        <f t="shared" si="3"/>
        <v>Female19</v>
      </c>
    </row>
    <row r="118" spans="1:7" x14ac:dyDescent="0.3">
      <c r="A118" s="14">
        <v>117</v>
      </c>
      <c r="B118" s="14" t="s">
        <v>9</v>
      </c>
      <c r="C118" s="14">
        <v>63</v>
      </c>
      <c r="D118" s="14">
        <v>65</v>
      </c>
      <c r="E118" s="14">
        <v>43</v>
      </c>
      <c r="F118" t="str">
        <f t="shared" si="2"/>
        <v>Female65</v>
      </c>
      <c r="G118" t="str">
        <f t="shared" si="3"/>
        <v>Female63</v>
      </c>
    </row>
    <row r="119" spans="1:7" x14ac:dyDescent="0.3">
      <c r="A119" s="14">
        <v>118</v>
      </c>
      <c r="B119" s="14" t="s">
        <v>9</v>
      </c>
      <c r="C119" s="14">
        <v>49</v>
      </c>
      <c r="D119" s="14">
        <v>65</v>
      </c>
      <c r="E119" s="14">
        <v>59</v>
      </c>
      <c r="F119" t="str">
        <f t="shared" si="2"/>
        <v>Female65</v>
      </c>
      <c r="G119" t="str">
        <f t="shared" si="3"/>
        <v>Female49</v>
      </c>
    </row>
    <row r="120" spans="1:7" x14ac:dyDescent="0.3">
      <c r="A120" s="14">
        <v>119</v>
      </c>
      <c r="B120" s="14" t="s">
        <v>9</v>
      </c>
      <c r="C120" s="14">
        <v>51</v>
      </c>
      <c r="D120" s="14">
        <v>67</v>
      </c>
      <c r="E120" s="14">
        <v>43</v>
      </c>
      <c r="F120" t="str">
        <f t="shared" si="2"/>
        <v>Female67</v>
      </c>
      <c r="G120" t="str">
        <f t="shared" si="3"/>
        <v>Female51</v>
      </c>
    </row>
    <row r="121" spans="1:7" x14ac:dyDescent="0.3">
      <c r="A121" s="14">
        <v>120</v>
      </c>
      <c r="B121" s="14" t="s">
        <v>9</v>
      </c>
      <c r="C121" s="14">
        <v>50</v>
      </c>
      <c r="D121" s="14">
        <v>67</v>
      </c>
      <c r="E121" s="14">
        <v>57</v>
      </c>
      <c r="F121" t="str">
        <f t="shared" si="2"/>
        <v>Female67</v>
      </c>
      <c r="G121" t="str">
        <f t="shared" si="3"/>
        <v>Female50</v>
      </c>
    </row>
    <row r="122" spans="1:7" x14ac:dyDescent="0.3">
      <c r="A122" s="14">
        <v>121</v>
      </c>
      <c r="B122" s="14" t="s">
        <v>5</v>
      </c>
      <c r="C122" s="14">
        <v>27</v>
      </c>
      <c r="D122" s="14">
        <v>67</v>
      </c>
      <c r="E122" s="14">
        <v>56</v>
      </c>
      <c r="F122" t="str">
        <f t="shared" si="2"/>
        <v>Male67</v>
      </c>
      <c r="G122" t="str">
        <f t="shared" si="3"/>
        <v>Male27</v>
      </c>
    </row>
    <row r="123" spans="1:7" x14ac:dyDescent="0.3">
      <c r="A123" s="14">
        <v>122</v>
      </c>
      <c r="B123" s="14" t="s">
        <v>9</v>
      </c>
      <c r="C123" s="14">
        <v>38</v>
      </c>
      <c r="D123" s="14">
        <v>67</v>
      </c>
      <c r="E123" s="14">
        <v>40</v>
      </c>
      <c r="F123" t="str">
        <f t="shared" si="2"/>
        <v>Female67</v>
      </c>
      <c r="G123" t="str">
        <f t="shared" si="3"/>
        <v>Female38</v>
      </c>
    </row>
    <row r="124" spans="1:7" x14ac:dyDescent="0.3">
      <c r="A124" s="14">
        <v>123</v>
      </c>
      <c r="B124" s="14" t="s">
        <v>9</v>
      </c>
      <c r="C124" s="14">
        <v>40</v>
      </c>
      <c r="D124" s="14">
        <v>69</v>
      </c>
      <c r="E124" s="14">
        <v>58</v>
      </c>
      <c r="F124" t="str">
        <f t="shared" si="2"/>
        <v>Female69</v>
      </c>
      <c r="G124" t="str">
        <f t="shared" si="3"/>
        <v>Female40</v>
      </c>
    </row>
    <row r="125" spans="1:7" x14ac:dyDescent="0.3">
      <c r="A125" s="14">
        <v>124</v>
      </c>
      <c r="B125" s="14" t="s">
        <v>5</v>
      </c>
      <c r="C125" s="14">
        <v>39</v>
      </c>
      <c r="D125" s="14">
        <v>69</v>
      </c>
      <c r="E125" s="14">
        <v>91</v>
      </c>
      <c r="F125" t="str">
        <f t="shared" si="2"/>
        <v>Male69</v>
      </c>
      <c r="G125" t="str">
        <f t="shared" si="3"/>
        <v>Male39</v>
      </c>
    </row>
    <row r="126" spans="1:7" x14ac:dyDescent="0.3">
      <c r="A126" s="14">
        <v>125</v>
      </c>
      <c r="B126" s="14" t="s">
        <v>9</v>
      </c>
      <c r="C126" s="14">
        <v>23</v>
      </c>
      <c r="D126" s="14">
        <v>70</v>
      </c>
      <c r="E126" s="14">
        <v>29</v>
      </c>
      <c r="F126" t="str">
        <f t="shared" si="2"/>
        <v>Female70</v>
      </c>
      <c r="G126" t="str">
        <f t="shared" si="3"/>
        <v>Female23</v>
      </c>
    </row>
    <row r="127" spans="1:7" x14ac:dyDescent="0.3">
      <c r="A127" s="14">
        <v>126</v>
      </c>
      <c r="B127" s="14" t="s">
        <v>9</v>
      </c>
      <c r="C127" s="14">
        <v>31</v>
      </c>
      <c r="D127" s="14">
        <v>70</v>
      </c>
      <c r="E127" s="14">
        <v>77</v>
      </c>
      <c r="F127" t="str">
        <f t="shared" si="2"/>
        <v>Female70</v>
      </c>
      <c r="G127" t="str">
        <f t="shared" si="3"/>
        <v>Female31</v>
      </c>
    </row>
    <row r="128" spans="1:7" x14ac:dyDescent="0.3">
      <c r="A128" s="14">
        <v>127</v>
      </c>
      <c r="B128" s="14" t="s">
        <v>5</v>
      </c>
      <c r="C128" s="14">
        <v>43</v>
      </c>
      <c r="D128" s="14">
        <v>71</v>
      </c>
      <c r="E128" s="14">
        <v>35</v>
      </c>
      <c r="F128" t="str">
        <f t="shared" si="2"/>
        <v>Male71</v>
      </c>
      <c r="G128" t="str">
        <f t="shared" si="3"/>
        <v>Male43</v>
      </c>
    </row>
    <row r="129" spans="1:7" x14ac:dyDescent="0.3">
      <c r="A129" s="14">
        <v>128</v>
      </c>
      <c r="B129" s="14" t="s">
        <v>5</v>
      </c>
      <c r="C129" s="14">
        <v>40</v>
      </c>
      <c r="D129" s="14">
        <v>71</v>
      </c>
      <c r="E129" s="14">
        <v>95</v>
      </c>
      <c r="F129" t="str">
        <f t="shared" si="2"/>
        <v>Male71</v>
      </c>
      <c r="G129" t="str">
        <f t="shared" si="3"/>
        <v>Male40</v>
      </c>
    </row>
    <row r="130" spans="1:7" x14ac:dyDescent="0.3">
      <c r="A130" s="14">
        <v>129</v>
      </c>
      <c r="B130" s="14" t="s">
        <v>5</v>
      </c>
      <c r="C130" s="14">
        <v>59</v>
      </c>
      <c r="D130" s="14">
        <v>71</v>
      </c>
      <c r="E130" s="14">
        <v>11</v>
      </c>
      <c r="F130" t="str">
        <f t="shared" si="2"/>
        <v>Male71</v>
      </c>
      <c r="G130" t="str">
        <f t="shared" si="3"/>
        <v>Male59</v>
      </c>
    </row>
    <row r="131" spans="1:7" x14ac:dyDescent="0.3">
      <c r="A131" s="14">
        <v>130</v>
      </c>
      <c r="B131" s="14" t="s">
        <v>5</v>
      </c>
      <c r="C131" s="14">
        <v>38</v>
      </c>
      <c r="D131" s="14">
        <v>71</v>
      </c>
      <c r="E131" s="14">
        <v>75</v>
      </c>
      <c r="F131" t="str">
        <f t="shared" ref="F131:F194" si="4">_xlfn.CONCAT(B131,D131)</f>
        <v>Male71</v>
      </c>
      <c r="G131" t="str">
        <f t="shared" ref="G131:G194" si="5">_xlfn.CONCAT(B131,C131)</f>
        <v>Male38</v>
      </c>
    </row>
    <row r="132" spans="1:7" x14ac:dyDescent="0.3">
      <c r="A132" s="14">
        <v>131</v>
      </c>
      <c r="B132" s="14" t="s">
        <v>5</v>
      </c>
      <c r="C132" s="14">
        <v>47</v>
      </c>
      <c r="D132" s="14">
        <v>71</v>
      </c>
      <c r="E132" s="14">
        <v>9</v>
      </c>
      <c r="F132" t="str">
        <f t="shared" si="4"/>
        <v>Male71</v>
      </c>
      <c r="G132" t="str">
        <f t="shared" si="5"/>
        <v>Male47</v>
      </c>
    </row>
    <row r="133" spans="1:7" x14ac:dyDescent="0.3">
      <c r="A133" s="14">
        <v>132</v>
      </c>
      <c r="B133" s="14" t="s">
        <v>5</v>
      </c>
      <c r="C133" s="14">
        <v>39</v>
      </c>
      <c r="D133" s="14">
        <v>71</v>
      </c>
      <c r="E133" s="14">
        <v>75</v>
      </c>
      <c r="F133" t="str">
        <f t="shared" si="4"/>
        <v>Male71</v>
      </c>
      <c r="G133" t="str">
        <f t="shared" si="5"/>
        <v>Male39</v>
      </c>
    </row>
    <row r="134" spans="1:7" x14ac:dyDescent="0.3">
      <c r="A134" s="14">
        <v>133</v>
      </c>
      <c r="B134" s="14" t="s">
        <v>9</v>
      </c>
      <c r="C134" s="14">
        <v>25</v>
      </c>
      <c r="D134" s="14">
        <v>72</v>
      </c>
      <c r="E134" s="14">
        <v>34</v>
      </c>
      <c r="F134" t="str">
        <f t="shared" si="4"/>
        <v>Female72</v>
      </c>
      <c r="G134" t="str">
        <f t="shared" si="5"/>
        <v>Female25</v>
      </c>
    </row>
    <row r="135" spans="1:7" x14ac:dyDescent="0.3">
      <c r="A135" s="14">
        <v>134</v>
      </c>
      <c r="B135" s="14" t="s">
        <v>9</v>
      </c>
      <c r="C135" s="14">
        <v>31</v>
      </c>
      <c r="D135" s="14">
        <v>72</v>
      </c>
      <c r="E135" s="14">
        <v>71</v>
      </c>
      <c r="F135" t="str">
        <f t="shared" si="4"/>
        <v>Female72</v>
      </c>
      <c r="G135" t="str">
        <f t="shared" si="5"/>
        <v>Female31</v>
      </c>
    </row>
    <row r="136" spans="1:7" x14ac:dyDescent="0.3">
      <c r="A136" s="14">
        <v>135</v>
      </c>
      <c r="B136" s="14" t="s">
        <v>5</v>
      </c>
      <c r="C136" s="14">
        <v>20</v>
      </c>
      <c r="D136" s="14">
        <v>73</v>
      </c>
      <c r="E136" s="14">
        <v>5</v>
      </c>
      <c r="F136" t="str">
        <f t="shared" si="4"/>
        <v>Male73</v>
      </c>
      <c r="G136" t="str">
        <f t="shared" si="5"/>
        <v>Male20</v>
      </c>
    </row>
    <row r="137" spans="1:7" x14ac:dyDescent="0.3">
      <c r="A137" s="14">
        <v>136</v>
      </c>
      <c r="B137" s="14" t="s">
        <v>9</v>
      </c>
      <c r="C137" s="14">
        <v>29</v>
      </c>
      <c r="D137" s="14">
        <v>73</v>
      </c>
      <c r="E137" s="14">
        <v>88</v>
      </c>
      <c r="F137" t="str">
        <f t="shared" si="4"/>
        <v>Female73</v>
      </c>
      <c r="G137" t="str">
        <f t="shared" si="5"/>
        <v>Female29</v>
      </c>
    </row>
    <row r="138" spans="1:7" x14ac:dyDescent="0.3">
      <c r="A138" s="14">
        <v>137</v>
      </c>
      <c r="B138" s="14" t="s">
        <v>9</v>
      </c>
      <c r="C138" s="14">
        <v>44</v>
      </c>
      <c r="D138" s="14">
        <v>73</v>
      </c>
      <c r="E138" s="14">
        <v>7</v>
      </c>
      <c r="F138" t="str">
        <f t="shared" si="4"/>
        <v>Female73</v>
      </c>
      <c r="G138" t="str">
        <f t="shared" si="5"/>
        <v>Female44</v>
      </c>
    </row>
    <row r="139" spans="1:7" x14ac:dyDescent="0.3">
      <c r="A139" s="14">
        <v>138</v>
      </c>
      <c r="B139" s="14" t="s">
        <v>5</v>
      </c>
      <c r="C139" s="14">
        <v>32</v>
      </c>
      <c r="D139" s="14">
        <v>73</v>
      </c>
      <c r="E139" s="14">
        <v>73</v>
      </c>
      <c r="F139" t="str">
        <f t="shared" si="4"/>
        <v>Male73</v>
      </c>
      <c r="G139" t="str">
        <f t="shared" si="5"/>
        <v>Male32</v>
      </c>
    </row>
    <row r="140" spans="1:7" x14ac:dyDescent="0.3">
      <c r="A140" s="14">
        <v>139</v>
      </c>
      <c r="B140" s="14" t="s">
        <v>5</v>
      </c>
      <c r="C140" s="14">
        <v>19</v>
      </c>
      <c r="D140" s="14">
        <v>74</v>
      </c>
      <c r="E140" s="14">
        <v>10</v>
      </c>
      <c r="F140" t="str">
        <f t="shared" si="4"/>
        <v>Male74</v>
      </c>
      <c r="G140" t="str">
        <f t="shared" si="5"/>
        <v>Male19</v>
      </c>
    </row>
    <row r="141" spans="1:7" x14ac:dyDescent="0.3">
      <c r="A141" s="14">
        <v>140</v>
      </c>
      <c r="B141" s="14" t="s">
        <v>9</v>
      </c>
      <c r="C141" s="14">
        <v>35</v>
      </c>
      <c r="D141" s="14">
        <v>74</v>
      </c>
      <c r="E141" s="14">
        <v>72</v>
      </c>
      <c r="F141" t="str">
        <f t="shared" si="4"/>
        <v>Female74</v>
      </c>
      <c r="G141" t="str">
        <f t="shared" si="5"/>
        <v>Female35</v>
      </c>
    </row>
    <row r="142" spans="1:7" x14ac:dyDescent="0.3">
      <c r="A142" s="14">
        <v>141</v>
      </c>
      <c r="B142" s="14" t="s">
        <v>9</v>
      </c>
      <c r="C142" s="14">
        <v>57</v>
      </c>
      <c r="D142" s="14">
        <v>75</v>
      </c>
      <c r="E142" s="14">
        <v>5</v>
      </c>
      <c r="F142" t="str">
        <f t="shared" si="4"/>
        <v>Female75</v>
      </c>
      <c r="G142" t="str">
        <f t="shared" si="5"/>
        <v>Female57</v>
      </c>
    </row>
    <row r="143" spans="1:7" x14ac:dyDescent="0.3">
      <c r="A143" s="14">
        <v>142</v>
      </c>
      <c r="B143" s="14" t="s">
        <v>5</v>
      </c>
      <c r="C143" s="14">
        <v>32</v>
      </c>
      <c r="D143" s="14">
        <v>75</v>
      </c>
      <c r="E143" s="14">
        <v>93</v>
      </c>
      <c r="F143" t="str">
        <f t="shared" si="4"/>
        <v>Male75</v>
      </c>
      <c r="G143" t="str">
        <f t="shared" si="5"/>
        <v>Male32</v>
      </c>
    </row>
    <row r="144" spans="1:7" x14ac:dyDescent="0.3">
      <c r="A144" s="14">
        <v>143</v>
      </c>
      <c r="B144" s="14" t="s">
        <v>9</v>
      </c>
      <c r="C144" s="14">
        <v>28</v>
      </c>
      <c r="D144" s="14">
        <v>76</v>
      </c>
      <c r="E144" s="14">
        <v>40</v>
      </c>
      <c r="F144" t="str">
        <f t="shared" si="4"/>
        <v>Female76</v>
      </c>
      <c r="G144" t="str">
        <f t="shared" si="5"/>
        <v>Female28</v>
      </c>
    </row>
    <row r="145" spans="1:7" x14ac:dyDescent="0.3">
      <c r="A145" s="14">
        <v>144</v>
      </c>
      <c r="B145" s="14" t="s">
        <v>9</v>
      </c>
      <c r="C145" s="14">
        <v>32</v>
      </c>
      <c r="D145" s="14">
        <v>76</v>
      </c>
      <c r="E145" s="14">
        <v>87</v>
      </c>
      <c r="F145" t="str">
        <f t="shared" si="4"/>
        <v>Female76</v>
      </c>
      <c r="G145" t="str">
        <f t="shared" si="5"/>
        <v>Female32</v>
      </c>
    </row>
    <row r="146" spans="1:7" x14ac:dyDescent="0.3">
      <c r="A146" s="14">
        <v>145</v>
      </c>
      <c r="B146" s="14" t="s">
        <v>5</v>
      </c>
      <c r="C146" s="14">
        <v>25</v>
      </c>
      <c r="D146" s="14">
        <v>77</v>
      </c>
      <c r="E146" s="14">
        <v>12</v>
      </c>
      <c r="F146" t="str">
        <f t="shared" si="4"/>
        <v>Male77</v>
      </c>
      <c r="G146" t="str">
        <f t="shared" si="5"/>
        <v>Male25</v>
      </c>
    </row>
    <row r="147" spans="1:7" x14ac:dyDescent="0.3">
      <c r="A147" s="14">
        <v>146</v>
      </c>
      <c r="B147" s="14" t="s">
        <v>5</v>
      </c>
      <c r="C147" s="14">
        <v>28</v>
      </c>
      <c r="D147" s="14">
        <v>77</v>
      </c>
      <c r="E147" s="14">
        <v>97</v>
      </c>
      <c r="F147" t="str">
        <f t="shared" si="4"/>
        <v>Male77</v>
      </c>
      <c r="G147" t="str">
        <f t="shared" si="5"/>
        <v>Male28</v>
      </c>
    </row>
    <row r="148" spans="1:7" x14ac:dyDescent="0.3">
      <c r="A148" s="14">
        <v>147</v>
      </c>
      <c r="B148" s="14" t="s">
        <v>5</v>
      </c>
      <c r="C148" s="14">
        <v>48</v>
      </c>
      <c r="D148" s="14">
        <v>77</v>
      </c>
      <c r="E148" s="14">
        <v>36</v>
      </c>
      <c r="F148" t="str">
        <f t="shared" si="4"/>
        <v>Male77</v>
      </c>
      <c r="G148" t="str">
        <f t="shared" si="5"/>
        <v>Male48</v>
      </c>
    </row>
    <row r="149" spans="1:7" x14ac:dyDescent="0.3">
      <c r="A149" s="14">
        <v>148</v>
      </c>
      <c r="B149" s="14" t="s">
        <v>9</v>
      </c>
      <c r="C149" s="14">
        <v>32</v>
      </c>
      <c r="D149" s="14">
        <v>77</v>
      </c>
      <c r="E149" s="14">
        <v>74</v>
      </c>
      <c r="F149" t="str">
        <f t="shared" si="4"/>
        <v>Female77</v>
      </c>
      <c r="G149" t="str">
        <f t="shared" si="5"/>
        <v>Female32</v>
      </c>
    </row>
    <row r="150" spans="1:7" x14ac:dyDescent="0.3">
      <c r="A150" s="14">
        <v>149</v>
      </c>
      <c r="B150" s="14" t="s">
        <v>9</v>
      </c>
      <c r="C150" s="14">
        <v>34</v>
      </c>
      <c r="D150" s="14">
        <v>78</v>
      </c>
      <c r="E150" s="14">
        <v>22</v>
      </c>
      <c r="F150" t="str">
        <f t="shared" si="4"/>
        <v>Female78</v>
      </c>
      <c r="G150" t="str">
        <f t="shared" si="5"/>
        <v>Female34</v>
      </c>
    </row>
    <row r="151" spans="1:7" x14ac:dyDescent="0.3">
      <c r="A151" s="14">
        <v>150</v>
      </c>
      <c r="B151" s="14" t="s">
        <v>5</v>
      </c>
      <c r="C151" s="14">
        <v>34</v>
      </c>
      <c r="D151" s="14">
        <v>78</v>
      </c>
      <c r="E151" s="14">
        <v>90</v>
      </c>
      <c r="F151" t="str">
        <f t="shared" si="4"/>
        <v>Male78</v>
      </c>
      <c r="G151" t="str">
        <f t="shared" si="5"/>
        <v>Male34</v>
      </c>
    </row>
    <row r="152" spans="1:7" x14ac:dyDescent="0.3">
      <c r="A152" s="14">
        <v>151</v>
      </c>
      <c r="B152" s="14" t="s">
        <v>5</v>
      </c>
      <c r="C152" s="14">
        <v>43</v>
      </c>
      <c r="D152" s="14">
        <v>78</v>
      </c>
      <c r="E152" s="14">
        <v>17</v>
      </c>
      <c r="F152" t="str">
        <f t="shared" si="4"/>
        <v>Male78</v>
      </c>
      <c r="G152" t="str">
        <f t="shared" si="5"/>
        <v>Male43</v>
      </c>
    </row>
    <row r="153" spans="1:7" x14ac:dyDescent="0.3">
      <c r="A153" s="14">
        <v>152</v>
      </c>
      <c r="B153" s="14" t="s">
        <v>5</v>
      </c>
      <c r="C153" s="14">
        <v>39</v>
      </c>
      <c r="D153" s="14">
        <v>78</v>
      </c>
      <c r="E153" s="14">
        <v>88</v>
      </c>
      <c r="F153" t="str">
        <f t="shared" si="4"/>
        <v>Male78</v>
      </c>
      <c r="G153" t="str">
        <f t="shared" si="5"/>
        <v>Male39</v>
      </c>
    </row>
    <row r="154" spans="1:7" x14ac:dyDescent="0.3">
      <c r="A154" s="14">
        <v>153</v>
      </c>
      <c r="B154" s="14" t="s">
        <v>9</v>
      </c>
      <c r="C154" s="14">
        <v>44</v>
      </c>
      <c r="D154" s="14">
        <v>78</v>
      </c>
      <c r="E154" s="14">
        <v>20</v>
      </c>
      <c r="F154" t="str">
        <f t="shared" si="4"/>
        <v>Female78</v>
      </c>
      <c r="G154" t="str">
        <f t="shared" si="5"/>
        <v>Female44</v>
      </c>
    </row>
    <row r="155" spans="1:7" x14ac:dyDescent="0.3">
      <c r="A155" s="14">
        <v>154</v>
      </c>
      <c r="B155" s="14" t="s">
        <v>9</v>
      </c>
      <c r="C155" s="14">
        <v>38</v>
      </c>
      <c r="D155" s="14">
        <v>78</v>
      </c>
      <c r="E155" s="14">
        <v>76</v>
      </c>
      <c r="F155" t="str">
        <f t="shared" si="4"/>
        <v>Female78</v>
      </c>
      <c r="G155" t="str">
        <f t="shared" si="5"/>
        <v>Female38</v>
      </c>
    </row>
    <row r="156" spans="1:7" x14ac:dyDescent="0.3">
      <c r="A156" s="14">
        <v>155</v>
      </c>
      <c r="B156" s="14" t="s">
        <v>9</v>
      </c>
      <c r="C156" s="14">
        <v>47</v>
      </c>
      <c r="D156" s="14">
        <v>78</v>
      </c>
      <c r="E156" s="14">
        <v>16</v>
      </c>
      <c r="F156" t="str">
        <f t="shared" si="4"/>
        <v>Female78</v>
      </c>
      <c r="G156" t="str">
        <f t="shared" si="5"/>
        <v>Female47</v>
      </c>
    </row>
    <row r="157" spans="1:7" x14ac:dyDescent="0.3">
      <c r="A157" s="14">
        <v>156</v>
      </c>
      <c r="B157" s="14" t="s">
        <v>9</v>
      </c>
      <c r="C157" s="14">
        <v>27</v>
      </c>
      <c r="D157" s="14">
        <v>78</v>
      </c>
      <c r="E157" s="14">
        <v>89</v>
      </c>
      <c r="F157" t="str">
        <f t="shared" si="4"/>
        <v>Female78</v>
      </c>
      <c r="G157" t="str">
        <f t="shared" si="5"/>
        <v>Female27</v>
      </c>
    </row>
    <row r="158" spans="1:7" x14ac:dyDescent="0.3">
      <c r="A158" s="14">
        <v>157</v>
      </c>
      <c r="B158" s="14" t="s">
        <v>5</v>
      </c>
      <c r="C158" s="14">
        <v>37</v>
      </c>
      <c r="D158" s="14">
        <v>78</v>
      </c>
      <c r="E158" s="14">
        <v>1</v>
      </c>
      <c r="F158" t="str">
        <f t="shared" si="4"/>
        <v>Male78</v>
      </c>
      <c r="G158" t="str">
        <f t="shared" si="5"/>
        <v>Male37</v>
      </c>
    </row>
    <row r="159" spans="1:7" x14ac:dyDescent="0.3">
      <c r="A159" s="14">
        <v>158</v>
      </c>
      <c r="B159" s="14" t="s">
        <v>9</v>
      </c>
      <c r="C159" s="14">
        <v>30</v>
      </c>
      <c r="D159" s="14">
        <v>78</v>
      </c>
      <c r="E159" s="14">
        <v>78</v>
      </c>
      <c r="F159" t="str">
        <f t="shared" si="4"/>
        <v>Female78</v>
      </c>
      <c r="G159" t="str">
        <f t="shared" si="5"/>
        <v>Female30</v>
      </c>
    </row>
    <row r="160" spans="1:7" x14ac:dyDescent="0.3">
      <c r="A160" s="14">
        <v>159</v>
      </c>
      <c r="B160" s="14" t="s">
        <v>5</v>
      </c>
      <c r="C160" s="14">
        <v>34</v>
      </c>
      <c r="D160" s="14">
        <v>78</v>
      </c>
      <c r="E160" s="14">
        <v>1</v>
      </c>
      <c r="F160" t="str">
        <f t="shared" si="4"/>
        <v>Male78</v>
      </c>
      <c r="G160" t="str">
        <f t="shared" si="5"/>
        <v>Male34</v>
      </c>
    </row>
    <row r="161" spans="1:7" x14ac:dyDescent="0.3">
      <c r="A161" s="14">
        <v>160</v>
      </c>
      <c r="B161" s="14" t="s">
        <v>9</v>
      </c>
      <c r="C161" s="14">
        <v>30</v>
      </c>
      <c r="D161" s="14">
        <v>78</v>
      </c>
      <c r="E161" s="14">
        <v>73</v>
      </c>
      <c r="F161" t="str">
        <f t="shared" si="4"/>
        <v>Female78</v>
      </c>
      <c r="G161" t="str">
        <f t="shared" si="5"/>
        <v>Female30</v>
      </c>
    </row>
    <row r="162" spans="1:7" x14ac:dyDescent="0.3">
      <c r="A162" s="14">
        <v>161</v>
      </c>
      <c r="B162" s="14" t="s">
        <v>9</v>
      </c>
      <c r="C162" s="14">
        <v>56</v>
      </c>
      <c r="D162" s="14">
        <v>79</v>
      </c>
      <c r="E162" s="14">
        <v>35</v>
      </c>
      <c r="F162" t="str">
        <f t="shared" si="4"/>
        <v>Female79</v>
      </c>
      <c r="G162" t="str">
        <f t="shared" si="5"/>
        <v>Female56</v>
      </c>
    </row>
    <row r="163" spans="1:7" x14ac:dyDescent="0.3">
      <c r="A163" s="14">
        <v>162</v>
      </c>
      <c r="B163" s="14" t="s">
        <v>9</v>
      </c>
      <c r="C163" s="14">
        <v>29</v>
      </c>
      <c r="D163" s="14">
        <v>79</v>
      </c>
      <c r="E163" s="14">
        <v>83</v>
      </c>
      <c r="F163" t="str">
        <f t="shared" si="4"/>
        <v>Female79</v>
      </c>
      <c r="G163" t="str">
        <f t="shared" si="5"/>
        <v>Female29</v>
      </c>
    </row>
    <row r="164" spans="1:7" x14ac:dyDescent="0.3">
      <c r="A164" s="14">
        <v>163</v>
      </c>
      <c r="B164" s="14" t="s">
        <v>5</v>
      </c>
      <c r="C164" s="14">
        <v>19</v>
      </c>
      <c r="D164" s="14">
        <v>81</v>
      </c>
      <c r="E164" s="14">
        <v>5</v>
      </c>
      <c r="F164" t="str">
        <f t="shared" si="4"/>
        <v>Male81</v>
      </c>
      <c r="G164" t="str">
        <f t="shared" si="5"/>
        <v>Male19</v>
      </c>
    </row>
    <row r="165" spans="1:7" x14ac:dyDescent="0.3">
      <c r="A165" s="14">
        <v>164</v>
      </c>
      <c r="B165" s="14" t="s">
        <v>9</v>
      </c>
      <c r="C165" s="14">
        <v>31</v>
      </c>
      <c r="D165" s="14">
        <v>81</v>
      </c>
      <c r="E165" s="14">
        <v>93</v>
      </c>
      <c r="F165" t="str">
        <f t="shared" si="4"/>
        <v>Female81</v>
      </c>
      <c r="G165" t="str">
        <f t="shared" si="5"/>
        <v>Female31</v>
      </c>
    </row>
    <row r="166" spans="1:7" x14ac:dyDescent="0.3">
      <c r="A166" s="14">
        <v>165</v>
      </c>
      <c r="B166" s="14" t="s">
        <v>5</v>
      </c>
      <c r="C166" s="14">
        <v>50</v>
      </c>
      <c r="D166" s="14">
        <v>85</v>
      </c>
      <c r="E166" s="14">
        <v>26</v>
      </c>
      <c r="F166" t="str">
        <f t="shared" si="4"/>
        <v>Male85</v>
      </c>
      <c r="G166" t="str">
        <f t="shared" si="5"/>
        <v>Male50</v>
      </c>
    </row>
    <row r="167" spans="1:7" x14ac:dyDescent="0.3">
      <c r="A167" s="14">
        <v>166</v>
      </c>
      <c r="B167" s="14" t="s">
        <v>9</v>
      </c>
      <c r="C167" s="14">
        <v>36</v>
      </c>
      <c r="D167" s="14">
        <v>85</v>
      </c>
      <c r="E167" s="14">
        <v>75</v>
      </c>
      <c r="F167" t="str">
        <f t="shared" si="4"/>
        <v>Female85</v>
      </c>
      <c r="G167" t="str">
        <f t="shared" si="5"/>
        <v>Female36</v>
      </c>
    </row>
    <row r="168" spans="1:7" x14ac:dyDescent="0.3">
      <c r="A168" s="14">
        <v>167</v>
      </c>
      <c r="B168" s="14" t="s">
        <v>5</v>
      </c>
      <c r="C168" s="14">
        <v>42</v>
      </c>
      <c r="D168" s="14">
        <v>86</v>
      </c>
      <c r="E168" s="14">
        <v>20</v>
      </c>
      <c r="F168" t="str">
        <f t="shared" si="4"/>
        <v>Male86</v>
      </c>
      <c r="G168" t="str">
        <f t="shared" si="5"/>
        <v>Male42</v>
      </c>
    </row>
    <row r="169" spans="1:7" x14ac:dyDescent="0.3">
      <c r="A169" s="14">
        <v>168</v>
      </c>
      <c r="B169" s="14" t="s">
        <v>9</v>
      </c>
      <c r="C169" s="14">
        <v>33</v>
      </c>
      <c r="D169" s="14">
        <v>86</v>
      </c>
      <c r="E169" s="14">
        <v>95</v>
      </c>
      <c r="F169" t="str">
        <f t="shared" si="4"/>
        <v>Female86</v>
      </c>
      <c r="G169" t="str">
        <f t="shared" si="5"/>
        <v>Female33</v>
      </c>
    </row>
    <row r="170" spans="1:7" x14ac:dyDescent="0.3">
      <c r="A170" s="14">
        <v>169</v>
      </c>
      <c r="B170" s="14" t="s">
        <v>9</v>
      </c>
      <c r="C170" s="14">
        <v>36</v>
      </c>
      <c r="D170" s="14">
        <v>87</v>
      </c>
      <c r="E170" s="14">
        <v>27</v>
      </c>
      <c r="F170" t="str">
        <f t="shared" si="4"/>
        <v>Female87</v>
      </c>
      <c r="G170" t="str">
        <f t="shared" si="5"/>
        <v>Female36</v>
      </c>
    </row>
    <row r="171" spans="1:7" x14ac:dyDescent="0.3">
      <c r="A171" s="14">
        <v>170</v>
      </c>
      <c r="B171" s="14" t="s">
        <v>5</v>
      </c>
      <c r="C171" s="14">
        <v>32</v>
      </c>
      <c r="D171" s="14">
        <v>87</v>
      </c>
      <c r="E171" s="14">
        <v>63</v>
      </c>
      <c r="F171" t="str">
        <f t="shared" si="4"/>
        <v>Male87</v>
      </c>
      <c r="G171" t="str">
        <f t="shared" si="5"/>
        <v>Male32</v>
      </c>
    </row>
    <row r="172" spans="1:7" x14ac:dyDescent="0.3">
      <c r="A172" s="14">
        <v>171</v>
      </c>
      <c r="B172" s="14" t="s">
        <v>5</v>
      </c>
      <c r="C172" s="14">
        <v>40</v>
      </c>
      <c r="D172" s="14">
        <v>87</v>
      </c>
      <c r="E172" s="14">
        <v>13</v>
      </c>
      <c r="F172" t="str">
        <f t="shared" si="4"/>
        <v>Male87</v>
      </c>
      <c r="G172" t="str">
        <f t="shared" si="5"/>
        <v>Male40</v>
      </c>
    </row>
    <row r="173" spans="1:7" x14ac:dyDescent="0.3">
      <c r="A173" s="14">
        <v>172</v>
      </c>
      <c r="B173" s="14" t="s">
        <v>5</v>
      </c>
      <c r="C173" s="14">
        <v>28</v>
      </c>
      <c r="D173" s="14">
        <v>87</v>
      </c>
      <c r="E173" s="14">
        <v>75</v>
      </c>
      <c r="F173" t="str">
        <f t="shared" si="4"/>
        <v>Male87</v>
      </c>
      <c r="G173" t="str">
        <f t="shared" si="5"/>
        <v>Male28</v>
      </c>
    </row>
    <row r="174" spans="1:7" x14ac:dyDescent="0.3">
      <c r="A174" s="14">
        <v>173</v>
      </c>
      <c r="B174" s="14" t="s">
        <v>5</v>
      </c>
      <c r="C174" s="14">
        <v>36</v>
      </c>
      <c r="D174" s="14">
        <v>87</v>
      </c>
      <c r="E174" s="14">
        <v>10</v>
      </c>
      <c r="F174" t="str">
        <f t="shared" si="4"/>
        <v>Male87</v>
      </c>
      <c r="G174" t="str">
        <f t="shared" si="5"/>
        <v>Male36</v>
      </c>
    </row>
    <row r="175" spans="1:7" x14ac:dyDescent="0.3">
      <c r="A175" s="14">
        <v>174</v>
      </c>
      <c r="B175" s="14" t="s">
        <v>5</v>
      </c>
      <c r="C175" s="14">
        <v>36</v>
      </c>
      <c r="D175" s="14">
        <v>87</v>
      </c>
      <c r="E175" s="14">
        <v>92</v>
      </c>
      <c r="F175" t="str">
        <f t="shared" si="4"/>
        <v>Male87</v>
      </c>
      <c r="G175" t="str">
        <f t="shared" si="5"/>
        <v>Male36</v>
      </c>
    </row>
    <row r="176" spans="1:7" x14ac:dyDescent="0.3">
      <c r="A176" s="14">
        <v>175</v>
      </c>
      <c r="B176" s="14" t="s">
        <v>9</v>
      </c>
      <c r="C176" s="14">
        <v>52</v>
      </c>
      <c r="D176" s="14">
        <v>88</v>
      </c>
      <c r="E176" s="14">
        <v>13</v>
      </c>
      <c r="F176" t="str">
        <f t="shared" si="4"/>
        <v>Female88</v>
      </c>
      <c r="G176" t="str">
        <f t="shared" si="5"/>
        <v>Female52</v>
      </c>
    </row>
    <row r="177" spans="1:7" x14ac:dyDescent="0.3">
      <c r="A177" s="14">
        <v>176</v>
      </c>
      <c r="B177" s="14" t="s">
        <v>9</v>
      </c>
      <c r="C177" s="14">
        <v>30</v>
      </c>
      <c r="D177" s="14">
        <v>88</v>
      </c>
      <c r="E177" s="14">
        <v>86</v>
      </c>
      <c r="F177" t="str">
        <f t="shared" si="4"/>
        <v>Female88</v>
      </c>
      <c r="G177" t="str">
        <f t="shared" si="5"/>
        <v>Female30</v>
      </c>
    </row>
    <row r="178" spans="1:7" x14ac:dyDescent="0.3">
      <c r="A178" s="14">
        <v>177</v>
      </c>
      <c r="B178" s="14" t="s">
        <v>5</v>
      </c>
      <c r="C178" s="14">
        <v>58</v>
      </c>
      <c r="D178" s="14">
        <v>88</v>
      </c>
      <c r="E178" s="14">
        <v>15</v>
      </c>
      <c r="F178" t="str">
        <f t="shared" si="4"/>
        <v>Male88</v>
      </c>
      <c r="G178" t="str">
        <f t="shared" si="5"/>
        <v>Male58</v>
      </c>
    </row>
    <row r="179" spans="1:7" x14ac:dyDescent="0.3">
      <c r="A179" s="14">
        <v>178</v>
      </c>
      <c r="B179" s="14" t="s">
        <v>5</v>
      </c>
      <c r="C179" s="14">
        <v>27</v>
      </c>
      <c r="D179" s="14">
        <v>88</v>
      </c>
      <c r="E179" s="14">
        <v>69</v>
      </c>
      <c r="F179" t="str">
        <f t="shared" si="4"/>
        <v>Male88</v>
      </c>
      <c r="G179" t="str">
        <f t="shared" si="5"/>
        <v>Male27</v>
      </c>
    </row>
    <row r="180" spans="1:7" x14ac:dyDescent="0.3">
      <c r="A180" s="14">
        <v>179</v>
      </c>
      <c r="B180" s="14" t="s">
        <v>5</v>
      </c>
      <c r="C180" s="14">
        <v>59</v>
      </c>
      <c r="D180" s="14">
        <v>93</v>
      </c>
      <c r="E180" s="14">
        <v>14</v>
      </c>
      <c r="F180" t="str">
        <f t="shared" si="4"/>
        <v>Male93</v>
      </c>
      <c r="G180" t="str">
        <f t="shared" si="5"/>
        <v>Male59</v>
      </c>
    </row>
    <row r="181" spans="1:7" x14ac:dyDescent="0.3">
      <c r="A181" s="14">
        <v>180</v>
      </c>
      <c r="B181" s="14" t="s">
        <v>5</v>
      </c>
      <c r="C181" s="14">
        <v>35</v>
      </c>
      <c r="D181" s="14">
        <v>93</v>
      </c>
      <c r="E181" s="14">
        <v>90</v>
      </c>
      <c r="F181" t="str">
        <f t="shared" si="4"/>
        <v>Male93</v>
      </c>
      <c r="G181" t="str">
        <f t="shared" si="5"/>
        <v>Male35</v>
      </c>
    </row>
    <row r="182" spans="1:7" x14ac:dyDescent="0.3">
      <c r="A182" s="14">
        <v>181</v>
      </c>
      <c r="B182" s="14" t="s">
        <v>9</v>
      </c>
      <c r="C182" s="14">
        <v>37</v>
      </c>
      <c r="D182" s="14">
        <v>97</v>
      </c>
      <c r="E182" s="14">
        <v>32</v>
      </c>
      <c r="F182" t="str">
        <f t="shared" si="4"/>
        <v>Female97</v>
      </c>
      <c r="G182" t="str">
        <f t="shared" si="5"/>
        <v>Female37</v>
      </c>
    </row>
    <row r="183" spans="1:7" x14ac:dyDescent="0.3">
      <c r="A183" s="14">
        <v>182</v>
      </c>
      <c r="B183" s="14" t="s">
        <v>9</v>
      </c>
      <c r="C183" s="14">
        <v>32</v>
      </c>
      <c r="D183" s="14">
        <v>97</v>
      </c>
      <c r="E183" s="14">
        <v>86</v>
      </c>
      <c r="F183" t="str">
        <f t="shared" si="4"/>
        <v>Female97</v>
      </c>
      <c r="G183" t="str">
        <f t="shared" si="5"/>
        <v>Female32</v>
      </c>
    </row>
    <row r="184" spans="1:7" x14ac:dyDescent="0.3">
      <c r="A184" s="14">
        <v>183</v>
      </c>
      <c r="B184" s="14" t="s">
        <v>5</v>
      </c>
      <c r="C184" s="14">
        <v>46</v>
      </c>
      <c r="D184" s="14">
        <v>98</v>
      </c>
      <c r="E184" s="14">
        <v>15</v>
      </c>
      <c r="F184" t="str">
        <f t="shared" si="4"/>
        <v>Male98</v>
      </c>
      <c r="G184" t="str">
        <f t="shared" si="5"/>
        <v>Male46</v>
      </c>
    </row>
    <row r="185" spans="1:7" x14ac:dyDescent="0.3">
      <c r="A185" s="14">
        <v>184</v>
      </c>
      <c r="B185" s="14" t="s">
        <v>9</v>
      </c>
      <c r="C185" s="14">
        <v>29</v>
      </c>
      <c r="D185" s="14">
        <v>98</v>
      </c>
      <c r="E185" s="14">
        <v>88</v>
      </c>
      <c r="F185" t="str">
        <f t="shared" si="4"/>
        <v>Female98</v>
      </c>
      <c r="G185" t="str">
        <f t="shared" si="5"/>
        <v>Female29</v>
      </c>
    </row>
    <row r="186" spans="1:7" x14ac:dyDescent="0.3">
      <c r="A186" s="14">
        <v>185</v>
      </c>
      <c r="B186" s="14" t="s">
        <v>9</v>
      </c>
      <c r="C186" s="14">
        <v>41</v>
      </c>
      <c r="D186" s="14">
        <v>99</v>
      </c>
      <c r="E186" s="14">
        <v>39</v>
      </c>
      <c r="F186" t="str">
        <f t="shared" si="4"/>
        <v>Female99</v>
      </c>
      <c r="G186" t="str">
        <f t="shared" si="5"/>
        <v>Female41</v>
      </c>
    </row>
    <row r="187" spans="1:7" x14ac:dyDescent="0.3">
      <c r="A187" s="14">
        <v>186</v>
      </c>
      <c r="B187" s="14" t="s">
        <v>5</v>
      </c>
      <c r="C187" s="14">
        <v>30</v>
      </c>
      <c r="D187" s="14">
        <v>99</v>
      </c>
      <c r="E187" s="14">
        <v>97</v>
      </c>
      <c r="F187" t="str">
        <f t="shared" si="4"/>
        <v>Male99</v>
      </c>
      <c r="G187" t="str">
        <f t="shared" si="5"/>
        <v>Male30</v>
      </c>
    </row>
    <row r="188" spans="1:7" x14ac:dyDescent="0.3">
      <c r="A188" s="14">
        <v>187</v>
      </c>
      <c r="B188" s="14" t="s">
        <v>9</v>
      </c>
      <c r="C188" s="14">
        <v>54</v>
      </c>
      <c r="D188" s="14">
        <v>101</v>
      </c>
      <c r="E188" s="14">
        <v>24</v>
      </c>
      <c r="F188" t="str">
        <f t="shared" si="4"/>
        <v>Female101</v>
      </c>
      <c r="G188" t="str">
        <f t="shared" si="5"/>
        <v>Female54</v>
      </c>
    </row>
    <row r="189" spans="1:7" x14ac:dyDescent="0.3">
      <c r="A189" s="14">
        <v>188</v>
      </c>
      <c r="B189" s="14" t="s">
        <v>5</v>
      </c>
      <c r="C189" s="14">
        <v>28</v>
      </c>
      <c r="D189" s="14">
        <v>101</v>
      </c>
      <c r="E189" s="14">
        <v>68</v>
      </c>
      <c r="F189" t="str">
        <f t="shared" si="4"/>
        <v>Male101</v>
      </c>
      <c r="G189" t="str">
        <f t="shared" si="5"/>
        <v>Male28</v>
      </c>
    </row>
    <row r="190" spans="1:7" x14ac:dyDescent="0.3">
      <c r="A190" s="14">
        <v>189</v>
      </c>
      <c r="B190" s="14" t="s">
        <v>9</v>
      </c>
      <c r="C190" s="14">
        <v>41</v>
      </c>
      <c r="D190" s="14">
        <v>103</v>
      </c>
      <c r="E190" s="14">
        <v>17</v>
      </c>
      <c r="F190" t="str">
        <f t="shared" si="4"/>
        <v>Female103</v>
      </c>
      <c r="G190" t="str">
        <f t="shared" si="5"/>
        <v>Female41</v>
      </c>
    </row>
    <row r="191" spans="1:7" x14ac:dyDescent="0.3">
      <c r="A191" s="14">
        <v>190</v>
      </c>
      <c r="B191" s="14" t="s">
        <v>9</v>
      </c>
      <c r="C191" s="14">
        <v>36</v>
      </c>
      <c r="D191" s="14">
        <v>103</v>
      </c>
      <c r="E191" s="14">
        <v>85</v>
      </c>
      <c r="F191" t="str">
        <f t="shared" si="4"/>
        <v>Female103</v>
      </c>
      <c r="G191" t="str">
        <f t="shared" si="5"/>
        <v>Female36</v>
      </c>
    </row>
    <row r="192" spans="1:7" x14ac:dyDescent="0.3">
      <c r="A192" s="14">
        <v>191</v>
      </c>
      <c r="B192" s="14" t="s">
        <v>9</v>
      </c>
      <c r="C192" s="14">
        <v>34</v>
      </c>
      <c r="D192" s="14">
        <v>103</v>
      </c>
      <c r="E192" s="14">
        <v>23</v>
      </c>
      <c r="F192" t="str">
        <f t="shared" si="4"/>
        <v>Female103</v>
      </c>
      <c r="G192" t="str">
        <f t="shared" si="5"/>
        <v>Female34</v>
      </c>
    </row>
    <row r="193" spans="1:7" x14ac:dyDescent="0.3">
      <c r="A193" s="14">
        <v>192</v>
      </c>
      <c r="B193" s="14" t="s">
        <v>9</v>
      </c>
      <c r="C193" s="14">
        <v>32</v>
      </c>
      <c r="D193" s="14">
        <v>103</v>
      </c>
      <c r="E193" s="14">
        <v>69</v>
      </c>
      <c r="F193" t="str">
        <f t="shared" si="4"/>
        <v>Female103</v>
      </c>
      <c r="G193" t="str">
        <f t="shared" si="5"/>
        <v>Female32</v>
      </c>
    </row>
    <row r="194" spans="1:7" x14ac:dyDescent="0.3">
      <c r="A194" s="14">
        <v>193</v>
      </c>
      <c r="B194" s="14" t="s">
        <v>5</v>
      </c>
      <c r="C194" s="14">
        <v>33</v>
      </c>
      <c r="D194" s="14">
        <v>113</v>
      </c>
      <c r="E194" s="14">
        <v>8</v>
      </c>
      <c r="F194" t="str">
        <f t="shared" si="4"/>
        <v>Male113</v>
      </c>
      <c r="G194" t="str">
        <f t="shared" si="5"/>
        <v>Male33</v>
      </c>
    </row>
    <row r="195" spans="1:7" x14ac:dyDescent="0.3">
      <c r="A195" s="14">
        <v>194</v>
      </c>
      <c r="B195" s="14" t="s">
        <v>9</v>
      </c>
      <c r="C195" s="14">
        <v>38</v>
      </c>
      <c r="D195" s="14">
        <v>113</v>
      </c>
      <c r="E195" s="14">
        <v>91</v>
      </c>
      <c r="F195" t="str">
        <f t="shared" ref="F195:F201" si="6">_xlfn.CONCAT(B195,D195)</f>
        <v>Female113</v>
      </c>
      <c r="G195" t="str">
        <f t="shared" ref="G195:G201" si="7">_xlfn.CONCAT(B195,C195)</f>
        <v>Female38</v>
      </c>
    </row>
    <row r="196" spans="1:7" x14ac:dyDescent="0.3">
      <c r="A196" s="14">
        <v>195</v>
      </c>
      <c r="B196" s="14" t="s">
        <v>9</v>
      </c>
      <c r="C196" s="14">
        <v>47</v>
      </c>
      <c r="D196" s="14">
        <v>120</v>
      </c>
      <c r="E196" s="14">
        <v>16</v>
      </c>
      <c r="F196" t="str">
        <f t="shared" si="6"/>
        <v>Female120</v>
      </c>
      <c r="G196" t="str">
        <f t="shared" si="7"/>
        <v>Female47</v>
      </c>
    </row>
    <row r="197" spans="1:7" x14ac:dyDescent="0.3">
      <c r="A197" s="14">
        <v>196</v>
      </c>
      <c r="B197" s="14" t="s">
        <v>9</v>
      </c>
      <c r="C197" s="14">
        <v>35</v>
      </c>
      <c r="D197" s="14">
        <v>120</v>
      </c>
      <c r="E197" s="14">
        <v>79</v>
      </c>
      <c r="F197" t="str">
        <f t="shared" si="6"/>
        <v>Female120</v>
      </c>
      <c r="G197" t="str">
        <f t="shared" si="7"/>
        <v>Female35</v>
      </c>
    </row>
    <row r="198" spans="1:7" x14ac:dyDescent="0.3">
      <c r="A198" s="14">
        <v>197</v>
      </c>
      <c r="B198" s="14" t="s">
        <v>9</v>
      </c>
      <c r="C198" s="14">
        <v>45</v>
      </c>
      <c r="D198" s="14">
        <v>126</v>
      </c>
      <c r="E198" s="14">
        <v>28</v>
      </c>
      <c r="F198" t="str">
        <f t="shared" si="6"/>
        <v>Female126</v>
      </c>
      <c r="G198" t="str">
        <f t="shared" si="7"/>
        <v>Female45</v>
      </c>
    </row>
    <row r="199" spans="1:7" x14ac:dyDescent="0.3">
      <c r="A199" s="14">
        <v>198</v>
      </c>
      <c r="B199" s="14" t="s">
        <v>5</v>
      </c>
      <c r="C199" s="14">
        <v>32</v>
      </c>
      <c r="D199" s="14">
        <v>126</v>
      </c>
      <c r="E199" s="14">
        <v>74</v>
      </c>
      <c r="F199" t="str">
        <f t="shared" si="6"/>
        <v>Male126</v>
      </c>
      <c r="G199" t="str">
        <f t="shared" si="7"/>
        <v>Male32</v>
      </c>
    </row>
    <row r="200" spans="1:7" x14ac:dyDescent="0.3">
      <c r="A200" s="14">
        <v>199</v>
      </c>
      <c r="B200" s="14" t="s">
        <v>5</v>
      </c>
      <c r="C200" s="14">
        <v>32</v>
      </c>
      <c r="D200" s="14">
        <v>137</v>
      </c>
      <c r="E200" s="14">
        <v>18</v>
      </c>
      <c r="F200" t="str">
        <f t="shared" si="6"/>
        <v>Male137</v>
      </c>
      <c r="G200" t="str">
        <f t="shared" si="7"/>
        <v>Male32</v>
      </c>
    </row>
    <row r="201" spans="1:7" x14ac:dyDescent="0.3">
      <c r="A201" s="14">
        <v>200</v>
      </c>
      <c r="B201" s="14" t="s">
        <v>5</v>
      </c>
      <c r="C201" s="14">
        <v>30</v>
      </c>
      <c r="D201" s="14">
        <v>137</v>
      </c>
      <c r="E201" s="14">
        <v>83</v>
      </c>
      <c r="F201" t="str">
        <f t="shared" si="6"/>
        <v>Male137</v>
      </c>
      <c r="G201" t="str">
        <f t="shared" si="7"/>
        <v>Male30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4B09-1AE9-48B5-B025-82A2D2DFE4C7}">
  <dimension ref="A1:GS49"/>
  <sheetViews>
    <sheetView tabSelected="1" zoomScale="92" workbookViewId="0">
      <selection activeCell="C14" sqref="C14"/>
    </sheetView>
  </sheetViews>
  <sheetFormatPr defaultRowHeight="14.4" x14ac:dyDescent="0.3"/>
  <cols>
    <col min="1" max="1" width="26.5546875" customWidth="1"/>
    <col min="5" max="5" width="21" customWidth="1"/>
  </cols>
  <sheetData>
    <row r="1" spans="1:201" x14ac:dyDescent="0.3">
      <c r="A1" s="17" t="s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14">
        <v>13</v>
      </c>
      <c r="O1" s="14">
        <v>14</v>
      </c>
      <c r="P1" s="14">
        <v>15</v>
      </c>
      <c r="Q1" s="14">
        <v>16</v>
      </c>
      <c r="R1" s="14">
        <v>17</v>
      </c>
      <c r="S1" s="14">
        <v>18</v>
      </c>
      <c r="T1" s="14">
        <v>19</v>
      </c>
      <c r="U1" s="14">
        <v>20</v>
      </c>
      <c r="V1" s="14">
        <v>21</v>
      </c>
      <c r="W1" s="14">
        <v>22</v>
      </c>
      <c r="X1" s="14">
        <v>23</v>
      </c>
      <c r="Y1" s="14">
        <v>24</v>
      </c>
      <c r="Z1" s="14">
        <v>25</v>
      </c>
      <c r="AA1" s="14">
        <v>26</v>
      </c>
      <c r="AB1" s="14">
        <v>27</v>
      </c>
      <c r="AC1" s="14">
        <v>28</v>
      </c>
      <c r="AD1" s="14">
        <v>29</v>
      </c>
      <c r="AE1" s="14">
        <v>30</v>
      </c>
      <c r="AF1" s="14">
        <v>31</v>
      </c>
      <c r="AG1" s="14">
        <v>32</v>
      </c>
      <c r="AH1" s="14">
        <v>33</v>
      </c>
      <c r="AI1" s="14">
        <v>34</v>
      </c>
      <c r="AJ1" s="14">
        <v>35</v>
      </c>
      <c r="AK1" s="14">
        <v>36</v>
      </c>
      <c r="AL1" s="14">
        <v>37</v>
      </c>
      <c r="AM1" s="14">
        <v>38</v>
      </c>
      <c r="AN1" s="14">
        <v>39</v>
      </c>
      <c r="AO1" s="14">
        <v>40</v>
      </c>
      <c r="AP1" s="14">
        <v>41</v>
      </c>
      <c r="AQ1" s="14">
        <v>42</v>
      </c>
      <c r="AR1" s="14">
        <v>43</v>
      </c>
      <c r="AS1" s="14">
        <v>44</v>
      </c>
      <c r="AT1" s="14">
        <v>45</v>
      </c>
      <c r="AU1" s="14">
        <v>46</v>
      </c>
      <c r="AV1" s="14">
        <v>47</v>
      </c>
      <c r="AW1" s="14">
        <v>48</v>
      </c>
      <c r="AX1" s="14">
        <v>49</v>
      </c>
      <c r="AY1" s="14">
        <v>50</v>
      </c>
      <c r="AZ1" s="14">
        <v>51</v>
      </c>
      <c r="BA1" s="14">
        <v>52</v>
      </c>
      <c r="BB1" s="14">
        <v>53</v>
      </c>
      <c r="BC1" s="14">
        <v>54</v>
      </c>
      <c r="BD1" s="14">
        <v>55</v>
      </c>
      <c r="BE1" s="14">
        <v>56</v>
      </c>
      <c r="BF1" s="14">
        <v>57</v>
      </c>
      <c r="BG1" s="14">
        <v>58</v>
      </c>
      <c r="BH1" s="14">
        <v>59</v>
      </c>
      <c r="BI1" s="14">
        <v>60</v>
      </c>
      <c r="BJ1" s="14">
        <v>61</v>
      </c>
      <c r="BK1" s="14">
        <v>62</v>
      </c>
      <c r="BL1" s="14">
        <v>63</v>
      </c>
      <c r="BM1" s="14">
        <v>64</v>
      </c>
      <c r="BN1" s="14">
        <v>65</v>
      </c>
      <c r="BO1" s="14">
        <v>66</v>
      </c>
      <c r="BP1" s="14">
        <v>67</v>
      </c>
      <c r="BQ1" s="14">
        <v>68</v>
      </c>
      <c r="BR1" s="14">
        <v>69</v>
      </c>
      <c r="BS1" s="14">
        <v>70</v>
      </c>
      <c r="BT1" s="14">
        <v>71</v>
      </c>
      <c r="BU1" s="14">
        <v>72</v>
      </c>
      <c r="BV1" s="14">
        <v>73</v>
      </c>
      <c r="BW1" s="14">
        <v>74</v>
      </c>
      <c r="BX1" s="14">
        <v>75</v>
      </c>
      <c r="BY1" s="14">
        <v>76</v>
      </c>
      <c r="BZ1" s="14">
        <v>77</v>
      </c>
      <c r="CA1" s="14">
        <v>78</v>
      </c>
      <c r="CB1" s="14">
        <v>79</v>
      </c>
      <c r="CC1" s="14">
        <v>80</v>
      </c>
      <c r="CD1" s="14">
        <v>81</v>
      </c>
      <c r="CE1" s="14">
        <v>82</v>
      </c>
      <c r="CF1" s="14">
        <v>83</v>
      </c>
      <c r="CG1" s="14">
        <v>84</v>
      </c>
      <c r="CH1" s="14">
        <v>85</v>
      </c>
      <c r="CI1" s="14">
        <v>86</v>
      </c>
      <c r="CJ1" s="14">
        <v>87</v>
      </c>
      <c r="CK1" s="14">
        <v>88</v>
      </c>
      <c r="CL1" s="14">
        <v>89</v>
      </c>
      <c r="CM1" s="14">
        <v>90</v>
      </c>
      <c r="CN1" s="14">
        <v>91</v>
      </c>
      <c r="CO1" s="14">
        <v>92</v>
      </c>
      <c r="CP1" s="14">
        <v>93</v>
      </c>
      <c r="CQ1" s="14">
        <v>94</v>
      </c>
      <c r="CR1" s="14">
        <v>95</v>
      </c>
      <c r="CS1" s="14">
        <v>96</v>
      </c>
      <c r="CT1" s="14">
        <v>97</v>
      </c>
      <c r="CU1" s="14">
        <v>98</v>
      </c>
      <c r="CV1" s="14">
        <v>99</v>
      </c>
      <c r="CW1" s="14">
        <v>100</v>
      </c>
      <c r="CX1" s="14">
        <v>101</v>
      </c>
      <c r="CY1" s="14">
        <v>102</v>
      </c>
      <c r="CZ1" s="14">
        <v>103</v>
      </c>
      <c r="DA1" s="14">
        <v>104</v>
      </c>
      <c r="DB1" s="14">
        <v>105</v>
      </c>
      <c r="DC1" s="14">
        <v>106</v>
      </c>
      <c r="DD1" s="14">
        <v>107</v>
      </c>
      <c r="DE1" s="14">
        <v>108</v>
      </c>
      <c r="DF1" s="14">
        <v>109</v>
      </c>
      <c r="DG1" s="14">
        <v>110</v>
      </c>
      <c r="DH1" s="14">
        <v>111</v>
      </c>
      <c r="DI1" s="14">
        <v>112</v>
      </c>
      <c r="DJ1" s="14">
        <v>113</v>
      </c>
      <c r="DK1" s="14">
        <v>114</v>
      </c>
      <c r="DL1" s="14">
        <v>115</v>
      </c>
      <c r="DM1" s="14">
        <v>116</v>
      </c>
      <c r="DN1" s="14">
        <v>117</v>
      </c>
      <c r="DO1" s="14">
        <v>118</v>
      </c>
      <c r="DP1" s="14">
        <v>119</v>
      </c>
      <c r="DQ1" s="14">
        <v>120</v>
      </c>
      <c r="DR1" s="14">
        <v>121</v>
      </c>
      <c r="DS1" s="14">
        <v>122</v>
      </c>
      <c r="DT1" s="14">
        <v>123</v>
      </c>
      <c r="DU1" s="14">
        <v>124</v>
      </c>
      <c r="DV1" s="14">
        <v>125</v>
      </c>
      <c r="DW1" s="14">
        <v>126</v>
      </c>
      <c r="DX1" s="14">
        <v>127</v>
      </c>
      <c r="DY1" s="14">
        <v>128</v>
      </c>
      <c r="DZ1" s="14">
        <v>129</v>
      </c>
      <c r="EA1" s="14">
        <v>130</v>
      </c>
      <c r="EB1" s="14">
        <v>131</v>
      </c>
      <c r="EC1" s="14">
        <v>132</v>
      </c>
      <c r="ED1" s="14">
        <v>133</v>
      </c>
      <c r="EE1" s="14">
        <v>134</v>
      </c>
      <c r="EF1" s="14">
        <v>135</v>
      </c>
      <c r="EG1" s="14">
        <v>136</v>
      </c>
      <c r="EH1" s="14">
        <v>137</v>
      </c>
      <c r="EI1" s="14">
        <v>138</v>
      </c>
      <c r="EJ1" s="14">
        <v>139</v>
      </c>
      <c r="EK1" s="14">
        <v>140</v>
      </c>
      <c r="EL1" s="14">
        <v>141</v>
      </c>
      <c r="EM1" s="14">
        <v>142</v>
      </c>
      <c r="EN1" s="14">
        <v>143</v>
      </c>
      <c r="EO1" s="14">
        <v>144</v>
      </c>
      <c r="EP1" s="14">
        <v>145</v>
      </c>
      <c r="EQ1" s="14">
        <v>146</v>
      </c>
      <c r="ER1" s="14">
        <v>147</v>
      </c>
      <c r="ES1" s="14">
        <v>148</v>
      </c>
      <c r="ET1" s="14">
        <v>149</v>
      </c>
      <c r="EU1" s="14">
        <v>150</v>
      </c>
      <c r="EV1" s="14">
        <v>151</v>
      </c>
      <c r="EW1" s="14">
        <v>152</v>
      </c>
      <c r="EX1" s="14">
        <v>153</v>
      </c>
      <c r="EY1" s="14">
        <v>154</v>
      </c>
      <c r="EZ1" s="14">
        <v>155</v>
      </c>
      <c r="FA1" s="14">
        <v>156</v>
      </c>
      <c r="FB1" s="14">
        <v>157</v>
      </c>
      <c r="FC1" s="14">
        <v>158</v>
      </c>
      <c r="FD1" s="14">
        <v>159</v>
      </c>
      <c r="FE1" s="14">
        <v>160</v>
      </c>
      <c r="FF1" s="14">
        <v>161</v>
      </c>
      <c r="FG1" s="14">
        <v>162</v>
      </c>
      <c r="FH1" s="14">
        <v>163</v>
      </c>
      <c r="FI1" s="14">
        <v>164</v>
      </c>
      <c r="FJ1" s="14">
        <v>165</v>
      </c>
      <c r="FK1" s="14">
        <v>166</v>
      </c>
      <c r="FL1" s="14">
        <v>167</v>
      </c>
      <c r="FM1" s="14">
        <v>168</v>
      </c>
      <c r="FN1" s="14">
        <v>169</v>
      </c>
      <c r="FO1" s="14">
        <v>170</v>
      </c>
      <c r="FP1" s="14">
        <v>171</v>
      </c>
      <c r="FQ1" s="14">
        <v>172</v>
      </c>
      <c r="FR1" s="14">
        <v>173</v>
      </c>
      <c r="FS1" s="14">
        <v>174</v>
      </c>
      <c r="FT1" s="14">
        <v>175</v>
      </c>
      <c r="FU1" s="14">
        <v>176</v>
      </c>
      <c r="FV1" s="14">
        <v>177</v>
      </c>
      <c r="FW1" s="14">
        <v>178</v>
      </c>
      <c r="FX1" s="14">
        <v>179</v>
      </c>
      <c r="FY1" s="14">
        <v>180</v>
      </c>
      <c r="FZ1" s="14">
        <v>181</v>
      </c>
      <c r="GA1" s="14">
        <v>182</v>
      </c>
      <c r="GB1" s="14">
        <v>183</v>
      </c>
      <c r="GC1" s="14">
        <v>184</v>
      </c>
      <c r="GD1" s="14">
        <v>185</v>
      </c>
      <c r="GE1" s="14">
        <v>186</v>
      </c>
      <c r="GF1" s="14">
        <v>187</v>
      </c>
      <c r="GG1" s="14">
        <v>188</v>
      </c>
      <c r="GH1" s="14">
        <v>189</v>
      </c>
      <c r="GI1" s="14">
        <v>190</v>
      </c>
      <c r="GJ1" s="14">
        <v>191</v>
      </c>
      <c r="GK1" s="14">
        <v>192</v>
      </c>
      <c r="GL1" s="14">
        <v>193</v>
      </c>
      <c r="GM1" s="14">
        <v>194</v>
      </c>
      <c r="GN1" s="14">
        <v>195</v>
      </c>
      <c r="GO1" s="14">
        <v>196</v>
      </c>
      <c r="GP1" s="14">
        <v>197</v>
      </c>
      <c r="GQ1" s="14">
        <v>198</v>
      </c>
      <c r="GR1" s="14">
        <v>199</v>
      </c>
      <c r="GS1" s="14">
        <v>200</v>
      </c>
    </row>
    <row r="2" spans="1:201" x14ac:dyDescent="0.3">
      <c r="A2" s="17" t="s">
        <v>1</v>
      </c>
      <c r="B2" s="14" t="s">
        <v>5</v>
      </c>
      <c r="C2" s="14" t="s">
        <v>5</v>
      </c>
      <c r="D2" s="14" t="s">
        <v>9</v>
      </c>
      <c r="E2" s="14" t="s">
        <v>9</v>
      </c>
      <c r="F2" s="14" t="s">
        <v>9</v>
      </c>
      <c r="G2" s="14" t="s">
        <v>9</v>
      </c>
      <c r="H2" s="14" t="s">
        <v>9</v>
      </c>
      <c r="I2" s="14" t="s">
        <v>9</v>
      </c>
      <c r="J2" s="14" t="s">
        <v>5</v>
      </c>
      <c r="K2" s="14" t="s">
        <v>9</v>
      </c>
      <c r="L2" s="14" t="s">
        <v>5</v>
      </c>
      <c r="M2" s="14" t="s">
        <v>9</v>
      </c>
      <c r="N2" s="14" t="s">
        <v>9</v>
      </c>
      <c r="O2" s="14" t="s">
        <v>9</v>
      </c>
      <c r="P2" s="14" t="s">
        <v>5</v>
      </c>
      <c r="Q2" s="14" t="s">
        <v>5</v>
      </c>
      <c r="R2" s="14" t="s">
        <v>9</v>
      </c>
      <c r="S2" s="14" t="s">
        <v>5</v>
      </c>
      <c r="T2" s="14" t="s">
        <v>5</v>
      </c>
      <c r="U2" s="14" t="s">
        <v>9</v>
      </c>
      <c r="V2" s="14" t="s">
        <v>5</v>
      </c>
      <c r="W2" s="14" t="s">
        <v>5</v>
      </c>
      <c r="X2" s="14" t="s">
        <v>9</v>
      </c>
      <c r="Y2" s="14" t="s">
        <v>5</v>
      </c>
      <c r="Z2" s="14" t="s">
        <v>9</v>
      </c>
      <c r="AA2" s="14" t="s">
        <v>5</v>
      </c>
      <c r="AB2" s="14" t="s">
        <v>9</v>
      </c>
      <c r="AC2" s="14" t="s">
        <v>5</v>
      </c>
      <c r="AD2" s="14" t="s">
        <v>9</v>
      </c>
      <c r="AE2" s="14" t="s">
        <v>9</v>
      </c>
      <c r="AF2" s="14" t="s">
        <v>5</v>
      </c>
      <c r="AG2" s="14" t="s">
        <v>9</v>
      </c>
      <c r="AH2" s="14" t="s">
        <v>5</v>
      </c>
      <c r="AI2" s="14" t="s">
        <v>5</v>
      </c>
      <c r="AJ2" s="14" t="s">
        <v>9</v>
      </c>
      <c r="AK2" s="14" t="s">
        <v>9</v>
      </c>
      <c r="AL2" s="14" t="s">
        <v>9</v>
      </c>
      <c r="AM2" s="14" t="s">
        <v>9</v>
      </c>
      <c r="AN2" s="14" t="s">
        <v>9</v>
      </c>
      <c r="AO2" s="14" t="s">
        <v>9</v>
      </c>
      <c r="AP2" s="14" t="s">
        <v>9</v>
      </c>
      <c r="AQ2" s="14" t="s">
        <v>5</v>
      </c>
      <c r="AR2" s="14" t="s">
        <v>5</v>
      </c>
      <c r="AS2" s="14" t="s">
        <v>9</v>
      </c>
      <c r="AT2" s="14" t="s">
        <v>9</v>
      </c>
      <c r="AU2" s="14" t="s">
        <v>9</v>
      </c>
      <c r="AV2" s="14" t="s">
        <v>9</v>
      </c>
      <c r="AW2" s="14" t="s">
        <v>9</v>
      </c>
      <c r="AX2" s="14" t="s">
        <v>9</v>
      </c>
      <c r="AY2" s="14" t="s">
        <v>9</v>
      </c>
      <c r="AZ2" s="14" t="s">
        <v>9</v>
      </c>
      <c r="BA2" s="14" t="s">
        <v>5</v>
      </c>
      <c r="BB2" s="14" t="s">
        <v>9</v>
      </c>
      <c r="BC2" s="14" t="s">
        <v>5</v>
      </c>
      <c r="BD2" s="14" t="s">
        <v>9</v>
      </c>
      <c r="BE2" s="14" t="s">
        <v>5</v>
      </c>
      <c r="BF2" s="14" t="s">
        <v>9</v>
      </c>
      <c r="BG2" s="14" t="s">
        <v>5</v>
      </c>
      <c r="BH2" s="14" t="s">
        <v>9</v>
      </c>
      <c r="BI2" s="14" t="s">
        <v>5</v>
      </c>
      <c r="BJ2" s="14" t="s">
        <v>5</v>
      </c>
      <c r="BK2" s="14" t="s">
        <v>5</v>
      </c>
      <c r="BL2" s="14" t="s">
        <v>9</v>
      </c>
      <c r="BM2" s="14" t="s">
        <v>9</v>
      </c>
      <c r="BN2" s="14" t="s">
        <v>5</v>
      </c>
      <c r="BO2" s="14" t="s">
        <v>5</v>
      </c>
      <c r="BP2" s="14" t="s">
        <v>9</v>
      </c>
      <c r="BQ2" s="14" t="s">
        <v>9</v>
      </c>
      <c r="BR2" s="14" t="s">
        <v>5</v>
      </c>
      <c r="BS2" s="14" t="s">
        <v>9</v>
      </c>
      <c r="BT2" s="14" t="s">
        <v>5</v>
      </c>
      <c r="BU2" s="14" t="s">
        <v>9</v>
      </c>
      <c r="BV2" s="14" t="s">
        <v>9</v>
      </c>
      <c r="BW2" s="14" t="s">
        <v>9</v>
      </c>
      <c r="BX2" s="14" t="s">
        <v>5</v>
      </c>
      <c r="BY2" s="14" t="s">
        <v>5</v>
      </c>
      <c r="BZ2" s="14" t="s">
        <v>9</v>
      </c>
      <c r="CA2" s="14" t="s">
        <v>5</v>
      </c>
      <c r="CB2" s="14" t="s">
        <v>9</v>
      </c>
      <c r="CC2" s="14" t="s">
        <v>9</v>
      </c>
      <c r="CD2" s="14" t="s">
        <v>5</v>
      </c>
      <c r="CE2" s="14" t="s">
        <v>5</v>
      </c>
      <c r="CF2" s="14" t="s">
        <v>5</v>
      </c>
      <c r="CG2" s="14" t="s">
        <v>9</v>
      </c>
      <c r="CH2" s="14" t="s">
        <v>9</v>
      </c>
      <c r="CI2" s="14" t="s">
        <v>5</v>
      </c>
      <c r="CJ2" s="14" t="s">
        <v>9</v>
      </c>
      <c r="CK2" s="14" t="s">
        <v>9</v>
      </c>
      <c r="CL2" s="14" t="s">
        <v>9</v>
      </c>
      <c r="CM2" s="14" t="s">
        <v>9</v>
      </c>
      <c r="CN2" s="14" t="s">
        <v>9</v>
      </c>
      <c r="CO2" s="14" t="s">
        <v>5</v>
      </c>
      <c r="CP2" s="14" t="s">
        <v>5</v>
      </c>
      <c r="CQ2" s="14" t="s">
        <v>9</v>
      </c>
      <c r="CR2" s="14" t="s">
        <v>9</v>
      </c>
      <c r="CS2" s="14" t="s">
        <v>5</v>
      </c>
      <c r="CT2" s="14" t="s">
        <v>9</v>
      </c>
      <c r="CU2" s="14" t="s">
        <v>9</v>
      </c>
      <c r="CV2" s="14" t="s">
        <v>5</v>
      </c>
      <c r="CW2" s="14" t="s">
        <v>5</v>
      </c>
      <c r="CX2" s="14" t="s">
        <v>9</v>
      </c>
      <c r="CY2" s="14" t="s">
        <v>9</v>
      </c>
      <c r="CZ2" s="14" t="s">
        <v>5</v>
      </c>
      <c r="DA2" s="14" t="s">
        <v>5</v>
      </c>
      <c r="DB2" s="14" t="s">
        <v>5</v>
      </c>
      <c r="DC2" s="14" t="s">
        <v>9</v>
      </c>
      <c r="DD2" s="14" t="s">
        <v>9</v>
      </c>
      <c r="DE2" s="14" t="s">
        <v>5</v>
      </c>
      <c r="DF2" s="14" t="s">
        <v>5</v>
      </c>
      <c r="DG2" s="14" t="s">
        <v>5</v>
      </c>
      <c r="DH2" s="14" t="s">
        <v>5</v>
      </c>
      <c r="DI2" s="14" t="s">
        <v>9</v>
      </c>
      <c r="DJ2" s="14" t="s">
        <v>9</v>
      </c>
      <c r="DK2" s="14" t="s">
        <v>5</v>
      </c>
      <c r="DL2" s="14" t="s">
        <v>9</v>
      </c>
      <c r="DM2" s="14" t="s">
        <v>9</v>
      </c>
      <c r="DN2" s="14" t="s">
        <v>9</v>
      </c>
      <c r="DO2" s="14" t="s">
        <v>9</v>
      </c>
      <c r="DP2" s="14" t="s">
        <v>9</v>
      </c>
      <c r="DQ2" s="14" t="s">
        <v>9</v>
      </c>
      <c r="DR2" s="14" t="s">
        <v>5</v>
      </c>
      <c r="DS2" s="14" t="s">
        <v>9</v>
      </c>
      <c r="DT2" s="14" t="s">
        <v>9</v>
      </c>
      <c r="DU2" s="14" t="s">
        <v>5</v>
      </c>
      <c r="DV2" s="14" t="s">
        <v>9</v>
      </c>
      <c r="DW2" s="14" t="s">
        <v>9</v>
      </c>
      <c r="DX2" s="14" t="s">
        <v>5</v>
      </c>
      <c r="DY2" s="14" t="s">
        <v>5</v>
      </c>
      <c r="DZ2" s="14" t="s">
        <v>5</v>
      </c>
      <c r="EA2" s="14" t="s">
        <v>5</v>
      </c>
      <c r="EB2" s="14" t="s">
        <v>5</v>
      </c>
      <c r="EC2" s="14" t="s">
        <v>5</v>
      </c>
      <c r="ED2" s="14" t="s">
        <v>9</v>
      </c>
      <c r="EE2" s="14" t="s">
        <v>9</v>
      </c>
      <c r="EF2" s="14" t="s">
        <v>5</v>
      </c>
      <c r="EG2" s="14" t="s">
        <v>9</v>
      </c>
      <c r="EH2" s="14" t="s">
        <v>9</v>
      </c>
      <c r="EI2" s="14" t="s">
        <v>5</v>
      </c>
      <c r="EJ2" s="14" t="s">
        <v>5</v>
      </c>
      <c r="EK2" s="14" t="s">
        <v>9</v>
      </c>
      <c r="EL2" s="14" t="s">
        <v>9</v>
      </c>
      <c r="EM2" s="14" t="s">
        <v>5</v>
      </c>
      <c r="EN2" s="14" t="s">
        <v>9</v>
      </c>
      <c r="EO2" s="14" t="s">
        <v>9</v>
      </c>
      <c r="EP2" s="14" t="s">
        <v>5</v>
      </c>
      <c r="EQ2" s="14" t="s">
        <v>5</v>
      </c>
      <c r="ER2" s="14" t="s">
        <v>5</v>
      </c>
      <c r="ES2" s="14" t="s">
        <v>9</v>
      </c>
      <c r="ET2" s="14" t="s">
        <v>9</v>
      </c>
      <c r="EU2" s="14" t="s">
        <v>5</v>
      </c>
      <c r="EV2" s="14" t="s">
        <v>5</v>
      </c>
      <c r="EW2" s="14" t="s">
        <v>5</v>
      </c>
      <c r="EX2" s="14" t="s">
        <v>9</v>
      </c>
      <c r="EY2" s="14" t="s">
        <v>9</v>
      </c>
      <c r="EZ2" s="14" t="s">
        <v>9</v>
      </c>
      <c r="FA2" s="14" t="s">
        <v>9</v>
      </c>
      <c r="FB2" s="14" t="s">
        <v>5</v>
      </c>
      <c r="FC2" s="14" t="s">
        <v>9</v>
      </c>
      <c r="FD2" s="14" t="s">
        <v>5</v>
      </c>
      <c r="FE2" s="14" t="s">
        <v>9</v>
      </c>
      <c r="FF2" s="14" t="s">
        <v>9</v>
      </c>
      <c r="FG2" s="14" t="s">
        <v>9</v>
      </c>
      <c r="FH2" s="14" t="s">
        <v>5</v>
      </c>
      <c r="FI2" s="14" t="s">
        <v>9</v>
      </c>
      <c r="FJ2" s="14" t="s">
        <v>5</v>
      </c>
      <c r="FK2" s="14" t="s">
        <v>9</v>
      </c>
      <c r="FL2" s="14" t="s">
        <v>5</v>
      </c>
      <c r="FM2" s="14" t="s">
        <v>9</v>
      </c>
      <c r="FN2" s="14" t="s">
        <v>9</v>
      </c>
      <c r="FO2" s="14" t="s">
        <v>5</v>
      </c>
      <c r="FP2" s="14" t="s">
        <v>5</v>
      </c>
      <c r="FQ2" s="14" t="s">
        <v>5</v>
      </c>
      <c r="FR2" s="14" t="s">
        <v>5</v>
      </c>
      <c r="FS2" s="14" t="s">
        <v>5</v>
      </c>
      <c r="FT2" s="14" t="s">
        <v>9</v>
      </c>
      <c r="FU2" s="14" t="s">
        <v>9</v>
      </c>
      <c r="FV2" s="14" t="s">
        <v>5</v>
      </c>
      <c r="FW2" s="14" t="s">
        <v>5</v>
      </c>
      <c r="FX2" s="14" t="s">
        <v>5</v>
      </c>
      <c r="FY2" s="14" t="s">
        <v>5</v>
      </c>
      <c r="FZ2" s="14" t="s">
        <v>9</v>
      </c>
      <c r="GA2" s="14" t="s">
        <v>9</v>
      </c>
      <c r="GB2" s="14" t="s">
        <v>5</v>
      </c>
      <c r="GC2" s="14" t="s">
        <v>9</v>
      </c>
      <c r="GD2" s="14" t="s">
        <v>9</v>
      </c>
      <c r="GE2" s="14" t="s">
        <v>5</v>
      </c>
      <c r="GF2" s="14" t="s">
        <v>9</v>
      </c>
      <c r="GG2" s="14" t="s">
        <v>5</v>
      </c>
      <c r="GH2" s="14" t="s">
        <v>9</v>
      </c>
      <c r="GI2" s="14" t="s">
        <v>9</v>
      </c>
      <c r="GJ2" s="14" t="s">
        <v>9</v>
      </c>
      <c r="GK2" s="14" t="s">
        <v>9</v>
      </c>
      <c r="GL2" s="14" t="s">
        <v>5</v>
      </c>
      <c r="GM2" s="14" t="s">
        <v>9</v>
      </c>
      <c r="GN2" s="14" t="s">
        <v>9</v>
      </c>
      <c r="GO2" s="14" t="s">
        <v>9</v>
      </c>
      <c r="GP2" s="14" t="s">
        <v>9</v>
      </c>
      <c r="GQ2" s="14" t="s">
        <v>5</v>
      </c>
      <c r="GR2" s="14" t="s">
        <v>5</v>
      </c>
      <c r="GS2" s="14" t="s">
        <v>5</v>
      </c>
    </row>
    <row r="3" spans="1:201" x14ac:dyDescent="0.3">
      <c r="A3" s="17" t="s">
        <v>2</v>
      </c>
      <c r="B3" s="14">
        <v>19</v>
      </c>
      <c r="C3" s="14">
        <v>21</v>
      </c>
      <c r="D3" s="14">
        <v>20</v>
      </c>
      <c r="E3" s="14">
        <v>23</v>
      </c>
      <c r="F3" s="14">
        <v>31</v>
      </c>
      <c r="G3" s="14">
        <v>22</v>
      </c>
      <c r="H3" s="14">
        <v>35</v>
      </c>
      <c r="I3" s="14">
        <v>23</v>
      </c>
      <c r="J3" s="14">
        <v>64</v>
      </c>
      <c r="K3" s="14">
        <v>30</v>
      </c>
      <c r="L3" s="14">
        <v>67</v>
      </c>
      <c r="M3" s="14">
        <v>35</v>
      </c>
      <c r="N3" s="14">
        <v>58</v>
      </c>
      <c r="O3" s="14">
        <v>24</v>
      </c>
      <c r="P3" s="14">
        <v>37</v>
      </c>
      <c r="Q3" s="14">
        <v>22</v>
      </c>
      <c r="R3" s="14">
        <v>35</v>
      </c>
      <c r="S3" s="14">
        <v>20</v>
      </c>
      <c r="T3" s="14">
        <v>52</v>
      </c>
      <c r="U3" s="14">
        <v>35</v>
      </c>
      <c r="V3" s="14">
        <v>35</v>
      </c>
      <c r="W3" s="14">
        <v>25</v>
      </c>
      <c r="X3" s="14">
        <v>46</v>
      </c>
      <c r="Y3" s="14">
        <v>31</v>
      </c>
      <c r="Z3" s="14">
        <v>54</v>
      </c>
      <c r="AA3" s="14">
        <v>29</v>
      </c>
      <c r="AB3" s="14">
        <v>45</v>
      </c>
      <c r="AC3" s="14">
        <v>35</v>
      </c>
      <c r="AD3" s="14">
        <v>40</v>
      </c>
      <c r="AE3" s="14">
        <v>23</v>
      </c>
      <c r="AF3" s="14">
        <v>60</v>
      </c>
      <c r="AG3" s="14">
        <v>21</v>
      </c>
      <c r="AH3" s="14">
        <v>53</v>
      </c>
      <c r="AI3" s="14">
        <v>18</v>
      </c>
      <c r="AJ3" s="14">
        <v>49</v>
      </c>
      <c r="AK3" s="14">
        <v>21</v>
      </c>
      <c r="AL3" s="14">
        <v>42</v>
      </c>
      <c r="AM3" s="14">
        <v>30</v>
      </c>
      <c r="AN3" s="14">
        <v>36</v>
      </c>
      <c r="AO3" s="14">
        <v>20</v>
      </c>
      <c r="AP3" s="14">
        <v>65</v>
      </c>
      <c r="AQ3" s="14">
        <v>24</v>
      </c>
      <c r="AR3" s="14">
        <v>48</v>
      </c>
      <c r="AS3" s="14">
        <v>31</v>
      </c>
      <c r="AT3" s="14">
        <v>49</v>
      </c>
      <c r="AU3" s="14">
        <v>24</v>
      </c>
      <c r="AV3" s="14">
        <v>50</v>
      </c>
      <c r="AW3" s="14">
        <v>27</v>
      </c>
      <c r="AX3" s="14">
        <v>29</v>
      </c>
      <c r="AY3" s="14">
        <v>31</v>
      </c>
      <c r="AZ3" s="14">
        <v>49</v>
      </c>
      <c r="BA3" s="14">
        <v>33</v>
      </c>
      <c r="BB3" s="14">
        <v>31</v>
      </c>
      <c r="BC3" s="14">
        <v>59</v>
      </c>
      <c r="BD3" s="14">
        <v>50</v>
      </c>
      <c r="BE3" s="14">
        <v>47</v>
      </c>
      <c r="BF3" s="14">
        <v>51</v>
      </c>
      <c r="BG3" s="14">
        <v>69</v>
      </c>
      <c r="BH3" s="14">
        <v>27</v>
      </c>
      <c r="BI3" s="14">
        <v>53</v>
      </c>
      <c r="BJ3" s="14">
        <v>70</v>
      </c>
      <c r="BK3" s="14">
        <v>19</v>
      </c>
      <c r="BL3" s="14">
        <v>67</v>
      </c>
      <c r="BM3" s="14">
        <v>54</v>
      </c>
      <c r="BN3" s="14">
        <v>63</v>
      </c>
      <c r="BO3" s="14">
        <v>18</v>
      </c>
      <c r="BP3" s="14">
        <v>43</v>
      </c>
      <c r="BQ3" s="14">
        <v>68</v>
      </c>
      <c r="BR3" s="14">
        <v>19</v>
      </c>
      <c r="BS3" s="14">
        <v>32</v>
      </c>
      <c r="BT3" s="14">
        <v>70</v>
      </c>
      <c r="BU3" s="14">
        <v>47</v>
      </c>
      <c r="BV3" s="14">
        <v>60</v>
      </c>
      <c r="BW3" s="14">
        <v>60</v>
      </c>
      <c r="BX3" s="14">
        <v>59</v>
      </c>
      <c r="BY3" s="14">
        <v>26</v>
      </c>
      <c r="BZ3" s="14">
        <v>45</v>
      </c>
      <c r="CA3" s="14">
        <v>40</v>
      </c>
      <c r="CB3" s="14">
        <v>23</v>
      </c>
      <c r="CC3" s="14">
        <v>49</v>
      </c>
      <c r="CD3" s="14">
        <v>57</v>
      </c>
      <c r="CE3" s="14">
        <v>38</v>
      </c>
      <c r="CF3" s="14">
        <v>67</v>
      </c>
      <c r="CG3" s="14">
        <v>46</v>
      </c>
      <c r="CH3" s="14">
        <v>21</v>
      </c>
      <c r="CI3" s="14">
        <v>48</v>
      </c>
      <c r="CJ3" s="14">
        <v>55</v>
      </c>
      <c r="CK3" s="14">
        <v>22</v>
      </c>
      <c r="CL3" s="14">
        <v>34</v>
      </c>
      <c r="CM3" s="14">
        <v>50</v>
      </c>
      <c r="CN3" s="14">
        <v>68</v>
      </c>
      <c r="CO3" s="14">
        <v>18</v>
      </c>
      <c r="CP3" s="14">
        <v>48</v>
      </c>
      <c r="CQ3" s="14">
        <v>40</v>
      </c>
      <c r="CR3" s="14">
        <v>32</v>
      </c>
      <c r="CS3" s="14">
        <v>24</v>
      </c>
      <c r="CT3" s="14">
        <v>47</v>
      </c>
      <c r="CU3" s="14">
        <v>27</v>
      </c>
      <c r="CV3" s="14">
        <v>48</v>
      </c>
      <c r="CW3" s="14">
        <v>20</v>
      </c>
      <c r="CX3" s="14">
        <v>23</v>
      </c>
      <c r="CY3" s="14">
        <v>49</v>
      </c>
      <c r="CZ3" s="14">
        <v>67</v>
      </c>
      <c r="DA3" s="14">
        <v>26</v>
      </c>
      <c r="DB3" s="14">
        <v>49</v>
      </c>
      <c r="DC3" s="14">
        <v>21</v>
      </c>
      <c r="DD3" s="14">
        <v>66</v>
      </c>
      <c r="DE3" s="14">
        <v>54</v>
      </c>
      <c r="DF3" s="14">
        <v>68</v>
      </c>
      <c r="DG3" s="14">
        <v>66</v>
      </c>
      <c r="DH3" s="14">
        <v>65</v>
      </c>
      <c r="DI3" s="14">
        <v>19</v>
      </c>
      <c r="DJ3" s="14">
        <v>38</v>
      </c>
      <c r="DK3" s="14">
        <v>19</v>
      </c>
      <c r="DL3" s="14">
        <v>18</v>
      </c>
      <c r="DM3" s="14">
        <v>19</v>
      </c>
      <c r="DN3" s="14">
        <v>63</v>
      </c>
      <c r="DO3" s="14">
        <v>49</v>
      </c>
      <c r="DP3" s="14">
        <v>51</v>
      </c>
      <c r="DQ3" s="14">
        <v>50</v>
      </c>
      <c r="DR3" s="14">
        <v>27</v>
      </c>
      <c r="DS3" s="14">
        <v>38</v>
      </c>
      <c r="DT3" s="14">
        <v>40</v>
      </c>
      <c r="DU3" s="14">
        <v>39</v>
      </c>
      <c r="DV3" s="14">
        <v>23</v>
      </c>
      <c r="DW3" s="14">
        <v>31</v>
      </c>
      <c r="DX3" s="14">
        <v>43</v>
      </c>
      <c r="DY3" s="14">
        <v>40</v>
      </c>
      <c r="DZ3" s="14">
        <v>59</v>
      </c>
      <c r="EA3" s="14">
        <v>38</v>
      </c>
      <c r="EB3" s="14">
        <v>47</v>
      </c>
      <c r="EC3" s="14">
        <v>39</v>
      </c>
      <c r="ED3" s="14">
        <v>25</v>
      </c>
      <c r="EE3" s="14">
        <v>31</v>
      </c>
      <c r="EF3" s="14">
        <v>20</v>
      </c>
      <c r="EG3" s="14">
        <v>29</v>
      </c>
      <c r="EH3" s="14">
        <v>44</v>
      </c>
      <c r="EI3" s="14">
        <v>32</v>
      </c>
      <c r="EJ3" s="14">
        <v>19</v>
      </c>
      <c r="EK3" s="14">
        <v>35</v>
      </c>
      <c r="EL3" s="14">
        <v>57</v>
      </c>
      <c r="EM3" s="14">
        <v>32</v>
      </c>
      <c r="EN3" s="14">
        <v>28</v>
      </c>
      <c r="EO3" s="14">
        <v>32</v>
      </c>
      <c r="EP3" s="14">
        <v>25</v>
      </c>
      <c r="EQ3" s="14">
        <v>28</v>
      </c>
      <c r="ER3" s="14">
        <v>48</v>
      </c>
      <c r="ES3" s="14">
        <v>32</v>
      </c>
      <c r="ET3" s="14">
        <v>34</v>
      </c>
      <c r="EU3" s="14">
        <v>34</v>
      </c>
      <c r="EV3" s="14">
        <v>43</v>
      </c>
      <c r="EW3" s="14">
        <v>39</v>
      </c>
      <c r="EX3" s="14">
        <v>44</v>
      </c>
      <c r="EY3" s="14">
        <v>38</v>
      </c>
      <c r="EZ3" s="14">
        <v>47</v>
      </c>
      <c r="FA3" s="14">
        <v>27</v>
      </c>
      <c r="FB3" s="14">
        <v>37</v>
      </c>
      <c r="FC3" s="14">
        <v>30</v>
      </c>
      <c r="FD3" s="14">
        <v>34</v>
      </c>
      <c r="FE3" s="14">
        <v>30</v>
      </c>
      <c r="FF3" s="14">
        <v>56</v>
      </c>
      <c r="FG3" s="14">
        <v>29</v>
      </c>
      <c r="FH3" s="14">
        <v>19</v>
      </c>
      <c r="FI3" s="14">
        <v>31</v>
      </c>
      <c r="FJ3" s="14">
        <v>50</v>
      </c>
      <c r="FK3" s="14">
        <v>36</v>
      </c>
      <c r="FL3" s="14">
        <v>42</v>
      </c>
      <c r="FM3" s="14">
        <v>33</v>
      </c>
      <c r="FN3" s="14">
        <v>36</v>
      </c>
      <c r="FO3" s="14">
        <v>32</v>
      </c>
      <c r="FP3" s="14">
        <v>40</v>
      </c>
      <c r="FQ3" s="14">
        <v>28</v>
      </c>
      <c r="FR3" s="14">
        <v>36</v>
      </c>
      <c r="FS3" s="14">
        <v>36</v>
      </c>
      <c r="FT3" s="14">
        <v>52</v>
      </c>
      <c r="FU3" s="14">
        <v>30</v>
      </c>
      <c r="FV3" s="14">
        <v>58</v>
      </c>
      <c r="FW3" s="14">
        <v>27</v>
      </c>
      <c r="FX3" s="14">
        <v>59</v>
      </c>
      <c r="FY3" s="14">
        <v>35</v>
      </c>
      <c r="FZ3" s="14">
        <v>37</v>
      </c>
      <c r="GA3" s="14">
        <v>32</v>
      </c>
      <c r="GB3" s="14">
        <v>46</v>
      </c>
      <c r="GC3" s="14">
        <v>29</v>
      </c>
      <c r="GD3" s="14">
        <v>41</v>
      </c>
      <c r="GE3" s="14">
        <v>30</v>
      </c>
      <c r="GF3" s="14">
        <v>54</v>
      </c>
      <c r="GG3" s="14">
        <v>28</v>
      </c>
      <c r="GH3" s="14">
        <v>41</v>
      </c>
      <c r="GI3" s="14">
        <v>36</v>
      </c>
      <c r="GJ3" s="14">
        <v>34</v>
      </c>
      <c r="GK3" s="14">
        <v>32</v>
      </c>
      <c r="GL3" s="14">
        <v>33</v>
      </c>
      <c r="GM3" s="14">
        <v>38</v>
      </c>
      <c r="GN3" s="14">
        <v>47</v>
      </c>
      <c r="GO3" s="14">
        <v>35</v>
      </c>
      <c r="GP3" s="14">
        <v>45</v>
      </c>
      <c r="GQ3" s="14">
        <v>32</v>
      </c>
      <c r="GR3" s="14">
        <v>32</v>
      </c>
      <c r="GS3" s="14">
        <v>30</v>
      </c>
    </row>
    <row r="4" spans="1:201" x14ac:dyDescent="0.3">
      <c r="A4" s="17" t="s">
        <v>3</v>
      </c>
      <c r="B4" s="14">
        <v>15</v>
      </c>
      <c r="C4" s="14">
        <v>15</v>
      </c>
      <c r="D4" s="14">
        <v>16</v>
      </c>
      <c r="E4" s="14">
        <v>16</v>
      </c>
      <c r="F4" s="14">
        <v>17</v>
      </c>
      <c r="G4" s="14">
        <v>17</v>
      </c>
      <c r="H4" s="14">
        <v>18</v>
      </c>
      <c r="I4" s="14">
        <v>18</v>
      </c>
      <c r="J4" s="14">
        <v>19</v>
      </c>
      <c r="K4" s="14">
        <v>19</v>
      </c>
      <c r="L4" s="14">
        <v>19</v>
      </c>
      <c r="M4" s="14">
        <v>19</v>
      </c>
      <c r="N4" s="14">
        <v>20</v>
      </c>
      <c r="O4" s="14">
        <v>20</v>
      </c>
      <c r="P4" s="14">
        <v>20</v>
      </c>
      <c r="Q4" s="14">
        <v>20</v>
      </c>
      <c r="R4" s="14">
        <v>21</v>
      </c>
      <c r="S4" s="14">
        <v>21</v>
      </c>
      <c r="T4" s="14">
        <v>23</v>
      </c>
      <c r="U4" s="14">
        <v>23</v>
      </c>
      <c r="V4" s="14">
        <v>24</v>
      </c>
      <c r="W4" s="14">
        <v>24</v>
      </c>
      <c r="X4" s="14">
        <v>25</v>
      </c>
      <c r="Y4" s="14">
        <v>25</v>
      </c>
      <c r="Z4" s="14">
        <v>28</v>
      </c>
      <c r="AA4" s="14">
        <v>28</v>
      </c>
      <c r="AB4" s="14">
        <v>28</v>
      </c>
      <c r="AC4" s="14">
        <v>28</v>
      </c>
      <c r="AD4" s="14">
        <v>29</v>
      </c>
      <c r="AE4" s="14">
        <v>29</v>
      </c>
      <c r="AF4" s="14">
        <v>30</v>
      </c>
      <c r="AG4" s="14">
        <v>30</v>
      </c>
      <c r="AH4" s="14">
        <v>33</v>
      </c>
      <c r="AI4" s="14">
        <v>33</v>
      </c>
      <c r="AJ4" s="14">
        <v>33</v>
      </c>
      <c r="AK4" s="14">
        <v>33</v>
      </c>
      <c r="AL4" s="14">
        <v>34</v>
      </c>
      <c r="AM4" s="14">
        <v>34</v>
      </c>
      <c r="AN4" s="14">
        <v>37</v>
      </c>
      <c r="AO4" s="14">
        <v>37</v>
      </c>
      <c r="AP4" s="14">
        <v>38</v>
      </c>
      <c r="AQ4" s="14">
        <v>38</v>
      </c>
      <c r="AR4" s="14">
        <v>39</v>
      </c>
      <c r="AS4" s="14">
        <v>39</v>
      </c>
      <c r="AT4" s="14">
        <v>39</v>
      </c>
      <c r="AU4" s="14">
        <v>39</v>
      </c>
      <c r="AV4" s="14">
        <v>40</v>
      </c>
      <c r="AW4" s="14">
        <v>40</v>
      </c>
      <c r="AX4" s="14">
        <v>40</v>
      </c>
      <c r="AY4" s="14">
        <v>40</v>
      </c>
      <c r="AZ4" s="14">
        <v>42</v>
      </c>
      <c r="BA4" s="14">
        <v>42</v>
      </c>
      <c r="BB4" s="14">
        <v>43</v>
      </c>
      <c r="BC4" s="14">
        <v>43</v>
      </c>
      <c r="BD4" s="14">
        <v>43</v>
      </c>
      <c r="BE4" s="14">
        <v>43</v>
      </c>
      <c r="BF4" s="14">
        <v>44</v>
      </c>
      <c r="BG4" s="14">
        <v>44</v>
      </c>
      <c r="BH4" s="14">
        <v>46</v>
      </c>
      <c r="BI4" s="14">
        <v>46</v>
      </c>
      <c r="BJ4" s="14">
        <v>46</v>
      </c>
      <c r="BK4" s="14">
        <v>46</v>
      </c>
      <c r="BL4" s="14">
        <v>47</v>
      </c>
      <c r="BM4" s="14">
        <v>47</v>
      </c>
      <c r="BN4" s="14">
        <v>48</v>
      </c>
      <c r="BO4" s="14">
        <v>48</v>
      </c>
      <c r="BP4" s="14">
        <v>48</v>
      </c>
      <c r="BQ4" s="14">
        <v>48</v>
      </c>
      <c r="BR4" s="14">
        <v>48</v>
      </c>
      <c r="BS4" s="14">
        <v>48</v>
      </c>
      <c r="BT4" s="14">
        <v>49</v>
      </c>
      <c r="BU4" s="14">
        <v>49</v>
      </c>
      <c r="BV4" s="14">
        <v>50</v>
      </c>
      <c r="BW4" s="14">
        <v>50</v>
      </c>
      <c r="BX4" s="14">
        <v>54</v>
      </c>
      <c r="BY4" s="14">
        <v>54</v>
      </c>
      <c r="BZ4" s="14">
        <v>54</v>
      </c>
      <c r="CA4" s="14">
        <v>54</v>
      </c>
      <c r="CB4" s="14">
        <v>54</v>
      </c>
      <c r="CC4" s="14">
        <v>54</v>
      </c>
      <c r="CD4" s="14">
        <v>54</v>
      </c>
      <c r="CE4" s="14">
        <v>54</v>
      </c>
      <c r="CF4" s="14">
        <v>54</v>
      </c>
      <c r="CG4" s="14">
        <v>54</v>
      </c>
      <c r="CH4" s="14">
        <v>54</v>
      </c>
      <c r="CI4" s="14">
        <v>54</v>
      </c>
      <c r="CJ4" s="14">
        <v>57</v>
      </c>
      <c r="CK4" s="14">
        <v>57</v>
      </c>
      <c r="CL4" s="14">
        <v>58</v>
      </c>
      <c r="CM4" s="14">
        <v>58</v>
      </c>
      <c r="CN4" s="14">
        <v>59</v>
      </c>
      <c r="CO4" s="14">
        <v>59</v>
      </c>
      <c r="CP4" s="14">
        <v>60</v>
      </c>
      <c r="CQ4" s="14">
        <v>60</v>
      </c>
      <c r="CR4" s="14">
        <v>60</v>
      </c>
      <c r="CS4" s="14">
        <v>60</v>
      </c>
      <c r="CT4" s="14">
        <v>60</v>
      </c>
      <c r="CU4" s="14">
        <v>60</v>
      </c>
      <c r="CV4" s="14">
        <v>61</v>
      </c>
      <c r="CW4" s="14">
        <v>61</v>
      </c>
      <c r="CX4" s="14">
        <v>62</v>
      </c>
      <c r="CY4" s="14">
        <v>62</v>
      </c>
      <c r="CZ4" s="14">
        <v>62</v>
      </c>
      <c r="DA4" s="14">
        <v>62</v>
      </c>
      <c r="DB4" s="14">
        <v>62</v>
      </c>
      <c r="DC4" s="14">
        <v>62</v>
      </c>
      <c r="DD4" s="14">
        <v>63</v>
      </c>
      <c r="DE4" s="14">
        <v>63</v>
      </c>
      <c r="DF4" s="14">
        <v>63</v>
      </c>
      <c r="DG4" s="14">
        <v>63</v>
      </c>
      <c r="DH4" s="14">
        <v>63</v>
      </c>
      <c r="DI4" s="14">
        <v>63</v>
      </c>
      <c r="DJ4" s="14">
        <v>64</v>
      </c>
      <c r="DK4" s="14">
        <v>64</v>
      </c>
      <c r="DL4" s="14">
        <v>65</v>
      </c>
      <c r="DM4" s="14">
        <v>65</v>
      </c>
      <c r="DN4" s="14">
        <v>65</v>
      </c>
      <c r="DO4" s="14">
        <v>65</v>
      </c>
      <c r="DP4" s="14">
        <v>67</v>
      </c>
      <c r="DQ4" s="14">
        <v>67</v>
      </c>
      <c r="DR4" s="14">
        <v>67</v>
      </c>
      <c r="DS4" s="14">
        <v>67</v>
      </c>
      <c r="DT4" s="14">
        <v>69</v>
      </c>
      <c r="DU4" s="14">
        <v>69</v>
      </c>
      <c r="DV4" s="14">
        <v>70</v>
      </c>
      <c r="DW4" s="14">
        <v>70</v>
      </c>
      <c r="DX4" s="14">
        <v>71</v>
      </c>
      <c r="DY4" s="14">
        <v>71</v>
      </c>
      <c r="DZ4" s="14">
        <v>71</v>
      </c>
      <c r="EA4" s="14">
        <v>71</v>
      </c>
      <c r="EB4" s="14">
        <v>71</v>
      </c>
      <c r="EC4" s="14">
        <v>71</v>
      </c>
      <c r="ED4" s="14">
        <v>72</v>
      </c>
      <c r="EE4" s="14">
        <v>72</v>
      </c>
      <c r="EF4" s="14">
        <v>73</v>
      </c>
      <c r="EG4" s="14">
        <v>73</v>
      </c>
      <c r="EH4" s="14">
        <v>73</v>
      </c>
      <c r="EI4" s="14">
        <v>73</v>
      </c>
      <c r="EJ4" s="14">
        <v>74</v>
      </c>
      <c r="EK4" s="14">
        <v>74</v>
      </c>
      <c r="EL4" s="14">
        <v>75</v>
      </c>
      <c r="EM4" s="14">
        <v>75</v>
      </c>
      <c r="EN4" s="14">
        <v>76</v>
      </c>
      <c r="EO4" s="14">
        <v>76</v>
      </c>
      <c r="EP4" s="14">
        <v>77</v>
      </c>
      <c r="EQ4" s="14">
        <v>77</v>
      </c>
      <c r="ER4" s="14">
        <v>77</v>
      </c>
      <c r="ES4" s="14">
        <v>77</v>
      </c>
      <c r="ET4" s="14">
        <v>78</v>
      </c>
      <c r="EU4" s="14">
        <v>78</v>
      </c>
      <c r="EV4" s="14">
        <v>78</v>
      </c>
      <c r="EW4" s="14">
        <v>78</v>
      </c>
      <c r="EX4" s="14">
        <v>78</v>
      </c>
      <c r="EY4" s="14">
        <v>78</v>
      </c>
      <c r="EZ4" s="14">
        <v>78</v>
      </c>
      <c r="FA4" s="14">
        <v>78</v>
      </c>
      <c r="FB4" s="14">
        <v>78</v>
      </c>
      <c r="FC4" s="14">
        <v>78</v>
      </c>
      <c r="FD4" s="14">
        <v>78</v>
      </c>
      <c r="FE4" s="14">
        <v>78</v>
      </c>
      <c r="FF4" s="14">
        <v>79</v>
      </c>
      <c r="FG4" s="14">
        <v>79</v>
      </c>
      <c r="FH4" s="14">
        <v>81</v>
      </c>
      <c r="FI4" s="14">
        <v>81</v>
      </c>
      <c r="FJ4" s="14">
        <v>85</v>
      </c>
      <c r="FK4" s="14">
        <v>85</v>
      </c>
      <c r="FL4" s="14">
        <v>86</v>
      </c>
      <c r="FM4" s="14">
        <v>86</v>
      </c>
      <c r="FN4" s="14">
        <v>87</v>
      </c>
      <c r="FO4" s="14">
        <v>87</v>
      </c>
      <c r="FP4" s="14">
        <v>87</v>
      </c>
      <c r="FQ4" s="14">
        <v>87</v>
      </c>
      <c r="FR4" s="14">
        <v>87</v>
      </c>
      <c r="FS4" s="14">
        <v>87</v>
      </c>
      <c r="FT4" s="14">
        <v>88</v>
      </c>
      <c r="FU4" s="14">
        <v>88</v>
      </c>
      <c r="FV4" s="14">
        <v>88</v>
      </c>
      <c r="FW4" s="14">
        <v>88</v>
      </c>
      <c r="FX4" s="14">
        <v>93</v>
      </c>
      <c r="FY4" s="14">
        <v>93</v>
      </c>
      <c r="FZ4" s="14">
        <v>97</v>
      </c>
      <c r="GA4" s="14">
        <v>97</v>
      </c>
      <c r="GB4" s="14">
        <v>98</v>
      </c>
      <c r="GC4" s="14">
        <v>98</v>
      </c>
      <c r="GD4" s="14">
        <v>99</v>
      </c>
      <c r="GE4" s="14">
        <v>99</v>
      </c>
      <c r="GF4" s="14">
        <v>101</v>
      </c>
      <c r="GG4" s="14">
        <v>101</v>
      </c>
      <c r="GH4" s="14">
        <v>103</v>
      </c>
      <c r="GI4" s="14">
        <v>103</v>
      </c>
      <c r="GJ4" s="14">
        <v>103</v>
      </c>
      <c r="GK4" s="14">
        <v>103</v>
      </c>
      <c r="GL4" s="14">
        <v>113</v>
      </c>
      <c r="GM4" s="14">
        <v>113</v>
      </c>
      <c r="GN4" s="14">
        <v>120</v>
      </c>
      <c r="GO4" s="14">
        <v>120</v>
      </c>
      <c r="GP4" s="14">
        <v>126</v>
      </c>
      <c r="GQ4" s="14">
        <v>126</v>
      </c>
      <c r="GR4" s="14">
        <v>137</v>
      </c>
      <c r="GS4" s="14">
        <v>137</v>
      </c>
    </row>
    <row r="5" spans="1:201" x14ac:dyDescent="0.3">
      <c r="A5" s="17" t="s">
        <v>4</v>
      </c>
      <c r="B5" s="14">
        <v>39</v>
      </c>
      <c r="C5" s="14">
        <v>81</v>
      </c>
      <c r="D5" s="14">
        <v>6</v>
      </c>
      <c r="E5" s="14">
        <v>77</v>
      </c>
      <c r="F5" s="14">
        <v>40</v>
      </c>
      <c r="G5" s="14">
        <v>76</v>
      </c>
      <c r="H5" s="14">
        <v>6</v>
      </c>
      <c r="I5" s="14">
        <v>94</v>
      </c>
      <c r="J5" s="14">
        <v>3</v>
      </c>
      <c r="K5" s="14">
        <v>72</v>
      </c>
      <c r="L5" s="14">
        <v>14</v>
      </c>
      <c r="M5" s="14">
        <v>99</v>
      </c>
      <c r="N5" s="14">
        <v>15</v>
      </c>
      <c r="O5" s="14">
        <v>77</v>
      </c>
      <c r="P5" s="14">
        <v>13</v>
      </c>
      <c r="Q5" s="14">
        <v>79</v>
      </c>
      <c r="R5" s="14">
        <v>35</v>
      </c>
      <c r="S5" s="14">
        <v>66</v>
      </c>
      <c r="T5" s="14">
        <v>29</v>
      </c>
      <c r="U5" s="14">
        <v>98</v>
      </c>
      <c r="V5" s="14">
        <v>300</v>
      </c>
      <c r="W5" s="14">
        <v>73</v>
      </c>
      <c r="X5" s="14">
        <v>5</v>
      </c>
      <c r="Y5" s="14">
        <v>73</v>
      </c>
      <c r="Z5" s="14">
        <v>14</v>
      </c>
      <c r="AA5" s="14">
        <v>82</v>
      </c>
      <c r="AB5" s="14">
        <v>32</v>
      </c>
      <c r="AC5" s="14">
        <v>61</v>
      </c>
      <c r="AD5" s="14">
        <v>31</v>
      </c>
      <c r="AE5" s="14">
        <v>87</v>
      </c>
      <c r="AF5" s="14">
        <v>4</v>
      </c>
      <c r="AG5" s="14">
        <v>73</v>
      </c>
      <c r="AH5" s="14">
        <v>4</v>
      </c>
      <c r="AI5" s="14">
        <v>92</v>
      </c>
      <c r="AJ5" s="14">
        <v>14</v>
      </c>
      <c r="AK5" s="14">
        <v>81</v>
      </c>
      <c r="AL5" s="14">
        <v>17</v>
      </c>
      <c r="AM5" s="14">
        <v>73</v>
      </c>
      <c r="AN5" s="14">
        <v>26</v>
      </c>
      <c r="AO5" s="14">
        <v>75</v>
      </c>
      <c r="AP5" s="14">
        <v>35</v>
      </c>
      <c r="AQ5" s="14">
        <v>92</v>
      </c>
      <c r="AR5" s="14">
        <v>36</v>
      </c>
      <c r="AS5" s="14">
        <v>61</v>
      </c>
      <c r="AT5" s="14">
        <v>28</v>
      </c>
      <c r="AU5" s="14">
        <v>65</v>
      </c>
      <c r="AV5" s="14">
        <v>55</v>
      </c>
      <c r="AW5" s="14">
        <v>47</v>
      </c>
      <c r="AX5" s="14">
        <v>42</v>
      </c>
      <c r="AY5" s="14">
        <v>42</v>
      </c>
      <c r="AZ5" s="14">
        <v>52</v>
      </c>
      <c r="BA5" s="14">
        <v>60</v>
      </c>
      <c r="BB5" s="14">
        <v>54</v>
      </c>
      <c r="BC5" s="14">
        <v>60</v>
      </c>
      <c r="BD5" s="14">
        <v>45</v>
      </c>
      <c r="BE5" s="14">
        <v>41</v>
      </c>
      <c r="BF5" s="14">
        <v>50</v>
      </c>
      <c r="BG5" s="14">
        <v>46</v>
      </c>
      <c r="BH5" s="14">
        <v>51</v>
      </c>
      <c r="BI5" s="14">
        <v>46</v>
      </c>
      <c r="BJ5" s="14">
        <v>56</v>
      </c>
      <c r="BK5" s="14">
        <v>55</v>
      </c>
      <c r="BL5" s="14">
        <v>52</v>
      </c>
      <c r="BM5" s="14">
        <v>59</v>
      </c>
      <c r="BN5" s="14">
        <v>51</v>
      </c>
      <c r="BO5" s="14">
        <v>59</v>
      </c>
      <c r="BP5" s="14">
        <v>50</v>
      </c>
      <c r="BQ5" s="14">
        <v>48</v>
      </c>
      <c r="BR5" s="14">
        <v>59</v>
      </c>
      <c r="BS5" s="14">
        <v>47</v>
      </c>
      <c r="BT5" s="14">
        <v>55</v>
      </c>
      <c r="BU5" s="14">
        <v>42</v>
      </c>
      <c r="BV5" s="14">
        <v>49</v>
      </c>
      <c r="BW5" s="14">
        <v>56</v>
      </c>
      <c r="BX5" s="14">
        <v>47</v>
      </c>
      <c r="BY5" s="14">
        <v>54</v>
      </c>
      <c r="BZ5" s="14">
        <v>53</v>
      </c>
      <c r="CA5" s="14">
        <v>48</v>
      </c>
      <c r="CB5" s="14">
        <v>52</v>
      </c>
      <c r="CC5" s="14">
        <v>42</v>
      </c>
      <c r="CD5" s="14">
        <v>51</v>
      </c>
      <c r="CE5" s="14">
        <v>55</v>
      </c>
      <c r="CF5" s="14">
        <v>41</v>
      </c>
      <c r="CG5" s="14">
        <v>44</v>
      </c>
      <c r="CH5" s="14">
        <v>57</v>
      </c>
      <c r="CI5" s="14">
        <v>46</v>
      </c>
      <c r="CJ5" s="14">
        <v>58</v>
      </c>
      <c r="CK5" s="14">
        <v>55</v>
      </c>
      <c r="CL5" s="14">
        <v>60</v>
      </c>
      <c r="CM5" s="14">
        <v>46</v>
      </c>
      <c r="CN5" s="14">
        <v>55</v>
      </c>
      <c r="CO5" s="14">
        <v>41</v>
      </c>
      <c r="CP5" s="14">
        <v>49</v>
      </c>
      <c r="CQ5" s="14">
        <v>40</v>
      </c>
      <c r="CR5" s="14">
        <v>42</v>
      </c>
      <c r="CS5" s="14">
        <v>52</v>
      </c>
      <c r="CT5" s="14">
        <v>47</v>
      </c>
      <c r="CU5" s="14">
        <v>50</v>
      </c>
      <c r="CV5" s="14">
        <v>42</v>
      </c>
      <c r="CW5" s="14">
        <v>49</v>
      </c>
      <c r="CX5" s="14">
        <v>41</v>
      </c>
      <c r="CY5" s="14">
        <v>48</v>
      </c>
      <c r="CZ5" s="14">
        <v>59</v>
      </c>
      <c r="DA5" s="14">
        <v>55</v>
      </c>
      <c r="DB5" s="14">
        <v>56</v>
      </c>
      <c r="DC5" s="14">
        <v>42</v>
      </c>
      <c r="DD5" s="14">
        <v>50</v>
      </c>
      <c r="DE5" s="14">
        <v>46</v>
      </c>
      <c r="DF5" s="14">
        <v>43</v>
      </c>
      <c r="DG5" s="14">
        <v>48</v>
      </c>
      <c r="DH5" s="14">
        <v>52</v>
      </c>
      <c r="DI5" s="14">
        <v>54</v>
      </c>
      <c r="DJ5" s="14">
        <v>42</v>
      </c>
      <c r="DK5" s="14">
        <v>46</v>
      </c>
      <c r="DL5" s="14">
        <v>48</v>
      </c>
      <c r="DM5" s="14">
        <v>50</v>
      </c>
      <c r="DN5" s="14">
        <v>43</v>
      </c>
      <c r="DO5" s="14">
        <v>59</v>
      </c>
      <c r="DP5" s="14">
        <v>43</v>
      </c>
      <c r="DQ5" s="14">
        <v>57</v>
      </c>
      <c r="DR5" s="14">
        <v>56</v>
      </c>
      <c r="DS5" s="14">
        <v>40</v>
      </c>
      <c r="DT5" s="14">
        <v>58</v>
      </c>
      <c r="DU5" s="14">
        <v>91</v>
      </c>
      <c r="DV5" s="14">
        <v>29</v>
      </c>
      <c r="DW5" s="14">
        <v>77</v>
      </c>
      <c r="DX5" s="14">
        <v>35</v>
      </c>
      <c r="DY5" s="14">
        <v>95</v>
      </c>
      <c r="DZ5" s="14">
        <v>11</v>
      </c>
      <c r="EA5" s="14">
        <v>75</v>
      </c>
      <c r="EB5" s="14">
        <v>9</v>
      </c>
      <c r="EC5" s="14">
        <v>75</v>
      </c>
      <c r="ED5" s="14">
        <v>34</v>
      </c>
      <c r="EE5" s="14">
        <v>71</v>
      </c>
      <c r="EF5" s="14">
        <v>5</v>
      </c>
      <c r="EG5" s="14">
        <v>88</v>
      </c>
      <c r="EH5" s="14">
        <v>7</v>
      </c>
      <c r="EI5" s="14">
        <v>73</v>
      </c>
      <c r="EJ5" s="14">
        <v>10</v>
      </c>
      <c r="EK5" s="14">
        <v>72</v>
      </c>
      <c r="EL5" s="14">
        <v>5</v>
      </c>
      <c r="EM5" s="14">
        <v>93</v>
      </c>
      <c r="EN5" s="14">
        <v>40</v>
      </c>
      <c r="EO5" s="14">
        <v>87</v>
      </c>
      <c r="EP5" s="14">
        <v>12</v>
      </c>
      <c r="EQ5" s="14">
        <v>97</v>
      </c>
      <c r="ER5" s="14">
        <v>36</v>
      </c>
      <c r="ES5" s="14">
        <v>74</v>
      </c>
      <c r="ET5" s="14">
        <v>22</v>
      </c>
      <c r="EU5" s="14">
        <v>90</v>
      </c>
      <c r="EV5" s="14">
        <v>17</v>
      </c>
      <c r="EW5" s="14">
        <v>88</v>
      </c>
      <c r="EX5" s="14">
        <v>20</v>
      </c>
      <c r="EY5" s="14">
        <v>76</v>
      </c>
      <c r="EZ5" s="14">
        <v>16</v>
      </c>
      <c r="FA5" s="14">
        <v>89</v>
      </c>
      <c r="FB5" s="14">
        <v>1</v>
      </c>
      <c r="FC5" s="14">
        <v>78</v>
      </c>
      <c r="FD5" s="14">
        <v>1</v>
      </c>
      <c r="FE5" s="14">
        <v>73</v>
      </c>
      <c r="FF5" s="14">
        <v>35</v>
      </c>
      <c r="FG5" s="14">
        <v>83</v>
      </c>
      <c r="FH5" s="14">
        <v>5</v>
      </c>
      <c r="FI5" s="14">
        <v>93</v>
      </c>
      <c r="FJ5" s="14">
        <v>26</v>
      </c>
      <c r="FK5" s="14">
        <v>75</v>
      </c>
      <c r="FL5" s="14">
        <v>20</v>
      </c>
      <c r="FM5" s="14">
        <v>95</v>
      </c>
      <c r="FN5" s="14">
        <v>27</v>
      </c>
      <c r="FO5" s="14">
        <v>63</v>
      </c>
      <c r="FP5" s="14">
        <v>13</v>
      </c>
      <c r="FQ5" s="14">
        <v>75</v>
      </c>
      <c r="FR5" s="14">
        <v>10</v>
      </c>
      <c r="FS5" s="14">
        <v>92</v>
      </c>
      <c r="FT5" s="14">
        <v>13</v>
      </c>
      <c r="FU5" s="14">
        <v>86</v>
      </c>
      <c r="FV5" s="14">
        <v>15</v>
      </c>
      <c r="FW5" s="14">
        <v>69</v>
      </c>
      <c r="FX5" s="14">
        <v>14</v>
      </c>
      <c r="FY5" s="14">
        <v>90</v>
      </c>
      <c r="FZ5" s="14">
        <v>32</v>
      </c>
      <c r="GA5" s="14">
        <v>86</v>
      </c>
      <c r="GB5" s="14">
        <v>15</v>
      </c>
      <c r="GC5" s="14">
        <v>88</v>
      </c>
      <c r="GD5" s="14">
        <v>39</v>
      </c>
      <c r="GE5" s="14">
        <v>97</v>
      </c>
      <c r="GF5" s="14">
        <v>24</v>
      </c>
      <c r="GG5" s="14">
        <v>68</v>
      </c>
      <c r="GH5" s="14">
        <v>17</v>
      </c>
      <c r="GI5" s="14">
        <v>85</v>
      </c>
      <c r="GJ5" s="14">
        <v>23</v>
      </c>
      <c r="GK5" s="14">
        <v>69</v>
      </c>
      <c r="GL5" s="14">
        <v>8</v>
      </c>
      <c r="GM5" s="14">
        <v>91</v>
      </c>
      <c r="GN5" s="14">
        <v>16</v>
      </c>
      <c r="GO5" s="14">
        <v>79</v>
      </c>
      <c r="GP5" s="14">
        <v>28</v>
      </c>
      <c r="GQ5" s="14">
        <v>74</v>
      </c>
      <c r="GR5" s="14">
        <v>18</v>
      </c>
      <c r="GS5" s="14">
        <v>83</v>
      </c>
    </row>
    <row r="6" spans="1:201" x14ac:dyDescent="0.3">
      <c r="A6" s="17" t="s">
        <v>170</v>
      </c>
      <c r="B6" s="14" t="str">
        <f t="shared" ref="B6:AG6" si="0">_xlfn.CONCAT(B2,B4)</f>
        <v>Male15</v>
      </c>
      <c r="C6" s="14" t="str">
        <f t="shared" si="0"/>
        <v>Male15</v>
      </c>
      <c r="D6" s="14" t="str">
        <f t="shared" si="0"/>
        <v>Female16</v>
      </c>
      <c r="E6" s="14" t="str">
        <f t="shared" si="0"/>
        <v>Female16</v>
      </c>
      <c r="F6" s="14" t="str">
        <f t="shared" si="0"/>
        <v>Female17</v>
      </c>
      <c r="G6" s="14" t="str">
        <f t="shared" si="0"/>
        <v>Female17</v>
      </c>
      <c r="H6" s="14" t="str">
        <f t="shared" si="0"/>
        <v>Female18</v>
      </c>
      <c r="I6" s="14" t="str">
        <f t="shared" si="0"/>
        <v>Female18</v>
      </c>
      <c r="J6" s="14" t="str">
        <f t="shared" si="0"/>
        <v>Male19</v>
      </c>
      <c r="K6" s="14" t="str">
        <f t="shared" si="0"/>
        <v>Female19</v>
      </c>
      <c r="L6" s="14" t="str">
        <f t="shared" si="0"/>
        <v>Male19</v>
      </c>
      <c r="M6" s="14" t="str">
        <f t="shared" si="0"/>
        <v>Female19</v>
      </c>
      <c r="N6" s="14" t="str">
        <f t="shared" si="0"/>
        <v>Female20</v>
      </c>
      <c r="O6" s="14" t="str">
        <f t="shared" si="0"/>
        <v>Female20</v>
      </c>
      <c r="P6" s="14" t="str">
        <f t="shared" si="0"/>
        <v>Male20</v>
      </c>
      <c r="Q6" s="14" t="str">
        <f t="shared" si="0"/>
        <v>Male20</v>
      </c>
      <c r="R6" s="14" t="str">
        <f t="shared" si="0"/>
        <v>Female21</v>
      </c>
      <c r="S6" s="14" t="str">
        <f t="shared" si="0"/>
        <v>Male21</v>
      </c>
      <c r="T6" s="14" t="str">
        <f t="shared" si="0"/>
        <v>Male23</v>
      </c>
      <c r="U6" s="14" t="str">
        <f t="shared" si="0"/>
        <v>Female23</v>
      </c>
      <c r="V6" s="14" t="str">
        <f t="shared" si="0"/>
        <v>Male24</v>
      </c>
      <c r="W6" s="14" t="str">
        <f t="shared" si="0"/>
        <v>Male24</v>
      </c>
      <c r="X6" s="14" t="str">
        <f t="shared" si="0"/>
        <v>Female25</v>
      </c>
      <c r="Y6" s="14" t="str">
        <f t="shared" si="0"/>
        <v>Male25</v>
      </c>
      <c r="Z6" s="14" t="str">
        <f t="shared" si="0"/>
        <v>Female28</v>
      </c>
      <c r="AA6" s="14" t="str">
        <f t="shared" si="0"/>
        <v>Male28</v>
      </c>
      <c r="AB6" s="14" t="str">
        <f t="shared" si="0"/>
        <v>Female28</v>
      </c>
      <c r="AC6" s="14" t="str">
        <f t="shared" si="0"/>
        <v>Male28</v>
      </c>
      <c r="AD6" s="14" t="str">
        <f t="shared" si="0"/>
        <v>Female29</v>
      </c>
      <c r="AE6" s="14" t="str">
        <f t="shared" si="0"/>
        <v>Female29</v>
      </c>
      <c r="AF6" s="14" t="str">
        <f t="shared" si="0"/>
        <v>Male30</v>
      </c>
      <c r="AG6" s="14" t="str">
        <f t="shared" si="0"/>
        <v>Female30</v>
      </c>
      <c r="AH6" s="14" t="str">
        <f t="shared" ref="AH6:BM6" si="1">_xlfn.CONCAT(AH2,AH4)</f>
        <v>Male33</v>
      </c>
      <c r="AI6" s="14" t="str">
        <f t="shared" si="1"/>
        <v>Male33</v>
      </c>
      <c r="AJ6" s="14" t="str">
        <f t="shared" si="1"/>
        <v>Female33</v>
      </c>
      <c r="AK6" s="14" t="str">
        <f t="shared" si="1"/>
        <v>Female33</v>
      </c>
      <c r="AL6" s="14" t="str">
        <f t="shared" si="1"/>
        <v>Female34</v>
      </c>
      <c r="AM6" s="14" t="str">
        <f t="shared" si="1"/>
        <v>Female34</v>
      </c>
      <c r="AN6" s="14" t="str">
        <f t="shared" si="1"/>
        <v>Female37</v>
      </c>
      <c r="AO6" s="14" t="str">
        <f t="shared" si="1"/>
        <v>Female37</v>
      </c>
      <c r="AP6" s="14" t="str">
        <f t="shared" si="1"/>
        <v>Female38</v>
      </c>
      <c r="AQ6" s="14" t="str">
        <f t="shared" si="1"/>
        <v>Male38</v>
      </c>
      <c r="AR6" s="14" t="str">
        <f t="shared" si="1"/>
        <v>Male39</v>
      </c>
      <c r="AS6" s="14" t="str">
        <f t="shared" si="1"/>
        <v>Female39</v>
      </c>
      <c r="AT6" s="14" t="str">
        <f t="shared" si="1"/>
        <v>Female39</v>
      </c>
      <c r="AU6" s="14" t="str">
        <f t="shared" si="1"/>
        <v>Female39</v>
      </c>
      <c r="AV6" s="14" t="str">
        <f t="shared" si="1"/>
        <v>Female40</v>
      </c>
      <c r="AW6" s="14" t="str">
        <f t="shared" si="1"/>
        <v>Female40</v>
      </c>
      <c r="AX6" s="14" t="str">
        <f t="shared" si="1"/>
        <v>Female40</v>
      </c>
      <c r="AY6" s="14" t="str">
        <f t="shared" si="1"/>
        <v>Female40</v>
      </c>
      <c r="AZ6" s="14" t="str">
        <f t="shared" si="1"/>
        <v>Female42</v>
      </c>
      <c r="BA6" s="14" t="str">
        <f t="shared" si="1"/>
        <v>Male42</v>
      </c>
      <c r="BB6" s="14" t="str">
        <f t="shared" si="1"/>
        <v>Female43</v>
      </c>
      <c r="BC6" s="14" t="str">
        <f t="shared" si="1"/>
        <v>Male43</v>
      </c>
      <c r="BD6" s="14" t="str">
        <f t="shared" si="1"/>
        <v>Female43</v>
      </c>
      <c r="BE6" s="14" t="str">
        <f t="shared" si="1"/>
        <v>Male43</v>
      </c>
      <c r="BF6" s="14" t="str">
        <f t="shared" si="1"/>
        <v>Female44</v>
      </c>
      <c r="BG6" s="14" t="str">
        <f t="shared" si="1"/>
        <v>Male44</v>
      </c>
      <c r="BH6" s="14" t="str">
        <f t="shared" si="1"/>
        <v>Female46</v>
      </c>
      <c r="BI6" s="14" t="str">
        <f t="shared" si="1"/>
        <v>Male46</v>
      </c>
      <c r="BJ6" s="14" t="str">
        <f t="shared" si="1"/>
        <v>Male46</v>
      </c>
      <c r="BK6" s="14" t="str">
        <f t="shared" si="1"/>
        <v>Male46</v>
      </c>
      <c r="BL6" s="14" t="str">
        <f t="shared" si="1"/>
        <v>Female47</v>
      </c>
      <c r="BM6" s="14" t="str">
        <f t="shared" si="1"/>
        <v>Female47</v>
      </c>
      <c r="BN6" s="14" t="str">
        <f t="shared" ref="BN6:CS6" si="2">_xlfn.CONCAT(BN2,BN4)</f>
        <v>Male48</v>
      </c>
      <c r="BO6" s="14" t="str">
        <f t="shared" si="2"/>
        <v>Male48</v>
      </c>
      <c r="BP6" s="14" t="str">
        <f t="shared" si="2"/>
        <v>Female48</v>
      </c>
      <c r="BQ6" s="14" t="str">
        <f t="shared" si="2"/>
        <v>Female48</v>
      </c>
      <c r="BR6" s="14" t="str">
        <f t="shared" si="2"/>
        <v>Male48</v>
      </c>
      <c r="BS6" s="14" t="str">
        <f t="shared" si="2"/>
        <v>Female48</v>
      </c>
      <c r="BT6" s="14" t="str">
        <f t="shared" si="2"/>
        <v>Male49</v>
      </c>
      <c r="BU6" s="14" t="str">
        <f t="shared" si="2"/>
        <v>Female49</v>
      </c>
      <c r="BV6" s="14" t="str">
        <f t="shared" si="2"/>
        <v>Female50</v>
      </c>
      <c r="BW6" s="14" t="str">
        <f t="shared" si="2"/>
        <v>Female50</v>
      </c>
      <c r="BX6" s="14" t="str">
        <f t="shared" si="2"/>
        <v>Male54</v>
      </c>
      <c r="BY6" s="14" t="str">
        <f t="shared" si="2"/>
        <v>Male54</v>
      </c>
      <c r="BZ6" s="14" t="str">
        <f t="shared" si="2"/>
        <v>Female54</v>
      </c>
      <c r="CA6" s="14" t="str">
        <f t="shared" si="2"/>
        <v>Male54</v>
      </c>
      <c r="CB6" s="14" t="str">
        <f t="shared" si="2"/>
        <v>Female54</v>
      </c>
      <c r="CC6" s="14" t="str">
        <f t="shared" si="2"/>
        <v>Female54</v>
      </c>
      <c r="CD6" s="14" t="str">
        <f t="shared" si="2"/>
        <v>Male54</v>
      </c>
      <c r="CE6" s="14" t="str">
        <f t="shared" si="2"/>
        <v>Male54</v>
      </c>
      <c r="CF6" s="14" t="str">
        <f t="shared" si="2"/>
        <v>Male54</v>
      </c>
      <c r="CG6" s="14" t="str">
        <f t="shared" si="2"/>
        <v>Female54</v>
      </c>
      <c r="CH6" s="14" t="str">
        <f t="shared" si="2"/>
        <v>Female54</v>
      </c>
      <c r="CI6" s="14" t="str">
        <f t="shared" si="2"/>
        <v>Male54</v>
      </c>
      <c r="CJ6" s="14" t="str">
        <f t="shared" si="2"/>
        <v>Female57</v>
      </c>
      <c r="CK6" s="14" t="str">
        <f t="shared" si="2"/>
        <v>Female57</v>
      </c>
      <c r="CL6" s="14" t="str">
        <f t="shared" si="2"/>
        <v>Female58</v>
      </c>
      <c r="CM6" s="14" t="str">
        <f t="shared" si="2"/>
        <v>Female58</v>
      </c>
      <c r="CN6" s="14" t="str">
        <f t="shared" si="2"/>
        <v>Female59</v>
      </c>
      <c r="CO6" s="14" t="str">
        <f t="shared" si="2"/>
        <v>Male59</v>
      </c>
      <c r="CP6" s="14" t="str">
        <f t="shared" si="2"/>
        <v>Male60</v>
      </c>
      <c r="CQ6" s="14" t="str">
        <f t="shared" si="2"/>
        <v>Female60</v>
      </c>
      <c r="CR6" s="14" t="str">
        <f t="shared" si="2"/>
        <v>Female60</v>
      </c>
      <c r="CS6" s="14" t="str">
        <f t="shared" si="2"/>
        <v>Male60</v>
      </c>
      <c r="CT6" s="14" t="str">
        <f t="shared" ref="CT6:DY6" si="3">_xlfn.CONCAT(CT2,CT4)</f>
        <v>Female60</v>
      </c>
      <c r="CU6" s="14" t="str">
        <f t="shared" si="3"/>
        <v>Female60</v>
      </c>
      <c r="CV6" s="14" t="str">
        <f t="shared" si="3"/>
        <v>Male61</v>
      </c>
      <c r="CW6" s="14" t="str">
        <f t="shared" si="3"/>
        <v>Male61</v>
      </c>
      <c r="CX6" s="14" t="str">
        <f t="shared" si="3"/>
        <v>Female62</v>
      </c>
      <c r="CY6" s="14" t="str">
        <f t="shared" si="3"/>
        <v>Female62</v>
      </c>
      <c r="CZ6" s="14" t="str">
        <f t="shared" si="3"/>
        <v>Male62</v>
      </c>
      <c r="DA6" s="14" t="str">
        <f t="shared" si="3"/>
        <v>Male62</v>
      </c>
      <c r="DB6" s="14" t="str">
        <f t="shared" si="3"/>
        <v>Male62</v>
      </c>
      <c r="DC6" s="14" t="str">
        <f t="shared" si="3"/>
        <v>Female62</v>
      </c>
      <c r="DD6" s="14" t="str">
        <f t="shared" si="3"/>
        <v>Female63</v>
      </c>
      <c r="DE6" s="14" t="str">
        <f t="shared" si="3"/>
        <v>Male63</v>
      </c>
      <c r="DF6" s="14" t="str">
        <f t="shared" si="3"/>
        <v>Male63</v>
      </c>
      <c r="DG6" s="14" t="str">
        <f t="shared" si="3"/>
        <v>Male63</v>
      </c>
      <c r="DH6" s="14" t="str">
        <f t="shared" si="3"/>
        <v>Male63</v>
      </c>
      <c r="DI6" s="14" t="str">
        <f t="shared" si="3"/>
        <v>Female63</v>
      </c>
      <c r="DJ6" s="14" t="str">
        <f t="shared" si="3"/>
        <v>Female64</v>
      </c>
      <c r="DK6" s="14" t="str">
        <f t="shared" si="3"/>
        <v>Male64</v>
      </c>
      <c r="DL6" s="14" t="str">
        <f t="shared" si="3"/>
        <v>Female65</v>
      </c>
      <c r="DM6" s="14" t="str">
        <f t="shared" si="3"/>
        <v>Female65</v>
      </c>
      <c r="DN6" s="14" t="str">
        <f t="shared" si="3"/>
        <v>Female65</v>
      </c>
      <c r="DO6" s="14" t="str">
        <f t="shared" si="3"/>
        <v>Female65</v>
      </c>
      <c r="DP6" s="14" t="str">
        <f t="shared" si="3"/>
        <v>Female67</v>
      </c>
      <c r="DQ6" s="14" t="str">
        <f t="shared" si="3"/>
        <v>Female67</v>
      </c>
      <c r="DR6" s="14" t="str">
        <f t="shared" si="3"/>
        <v>Male67</v>
      </c>
      <c r="DS6" s="14" t="str">
        <f t="shared" si="3"/>
        <v>Female67</v>
      </c>
      <c r="DT6" s="14" t="str">
        <f t="shared" si="3"/>
        <v>Female69</v>
      </c>
      <c r="DU6" s="14" t="str">
        <f t="shared" si="3"/>
        <v>Male69</v>
      </c>
      <c r="DV6" s="14" t="str">
        <f t="shared" si="3"/>
        <v>Female70</v>
      </c>
      <c r="DW6" s="14" t="str">
        <f t="shared" si="3"/>
        <v>Female70</v>
      </c>
      <c r="DX6" s="14" t="str">
        <f t="shared" si="3"/>
        <v>Male71</v>
      </c>
      <c r="DY6" s="14" t="str">
        <f t="shared" si="3"/>
        <v>Male71</v>
      </c>
      <c r="DZ6" s="14" t="str">
        <f t="shared" ref="DZ6:FE6" si="4">_xlfn.CONCAT(DZ2,DZ4)</f>
        <v>Male71</v>
      </c>
      <c r="EA6" s="14" t="str">
        <f t="shared" si="4"/>
        <v>Male71</v>
      </c>
      <c r="EB6" s="14" t="str">
        <f t="shared" si="4"/>
        <v>Male71</v>
      </c>
      <c r="EC6" s="14" t="str">
        <f t="shared" si="4"/>
        <v>Male71</v>
      </c>
      <c r="ED6" s="14" t="str">
        <f t="shared" si="4"/>
        <v>Female72</v>
      </c>
      <c r="EE6" s="14" t="str">
        <f t="shared" si="4"/>
        <v>Female72</v>
      </c>
      <c r="EF6" s="14" t="str">
        <f t="shared" si="4"/>
        <v>Male73</v>
      </c>
      <c r="EG6" s="14" t="str">
        <f t="shared" si="4"/>
        <v>Female73</v>
      </c>
      <c r="EH6" s="14" t="str">
        <f t="shared" si="4"/>
        <v>Female73</v>
      </c>
      <c r="EI6" s="14" t="str">
        <f t="shared" si="4"/>
        <v>Male73</v>
      </c>
      <c r="EJ6" s="14" t="str">
        <f t="shared" si="4"/>
        <v>Male74</v>
      </c>
      <c r="EK6" s="14" t="str">
        <f t="shared" si="4"/>
        <v>Female74</v>
      </c>
      <c r="EL6" s="14" t="str">
        <f t="shared" si="4"/>
        <v>Female75</v>
      </c>
      <c r="EM6" s="14" t="str">
        <f t="shared" si="4"/>
        <v>Male75</v>
      </c>
      <c r="EN6" s="14" t="str">
        <f t="shared" si="4"/>
        <v>Female76</v>
      </c>
      <c r="EO6" s="14" t="str">
        <f t="shared" si="4"/>
        <v>Female76</v>
      </c>
      <c r="EP6" s="14" t="str">
        <f t="shared" si="4"/>
        <v>Male77</v>
      </c>
      <c r="EQ6" s="14" t="str">
        <f t="shared" si="4"/>
        <v>Male77</v>
      </c>
      <c r="ER6" s="14" t="str">
        <f t="shared" si="4"/>
        <v>Male77</v>
      </c>
      <c r="ES6" s="14" t="str">
        <f t="shared" si="4"/>
        <v>Female77</v>
      </c>
      <c r="ET6" s="14" t="str">
        <f t="shared" si="4"/>
        <v>Female78</v>
      </c>
      <c r="EU6" s="14" t="str">
        <f t="shared" si="4"/>
        <v>Male78</v>
      </c>
      <c r="EV6" s="14" t="str">
        <f t="shared" si="4"/>
        <v>Male78</v>
      </c>
      <c r="EW6" s="14" t="str">
        <f t="shared" si="4"/>
        <v>Male78</v>
      </c>
      <c r="EX6" s="14" t="str">
        <f t="shared" si="4"/>
        <v>Female78</v>
      </c>
      <c r="EY6" s="14" t="str">
        <f t="shared" si="4"/>
        <v>Female78</v>
      </c>
      <c r="EZ6" s="14" t="str">
        <f t="shared" si="4"/>
        <v>Female78</v>
      </c>
      <c r="FA6" s="14" t="str">
        <f t="shared" si="4"/>
        <v>Female78</v>
      </c>
      <c r="FB6" s="14" t="str">
        <f t="shared" si="4"/>
        <v>Male78</v>
      </c>
      <c r="FC6" s="14" t="str">
        <f t="shared" si="4"/>
        <v>Female78</v>
      </c>
      <c r="FD6" s="14" t="str">
        <f t="shared" si="4"/>
        <v>Male78</v>
      </c>
      <c r="FE6" s="14" t="str">
        <f t="shared" si="4"/>
        <v>Female78</v>
      </c>
      <c r="FF6" s="14" t="str">
        <f t="shared" ref="FF6:GK6" si="5">_xlfn.CONCAT(FF2,FF4)</f>
        <v>Female79</v>
      </c>
      <c r="FG6" s="14" t="str">
        <f t="shared" si="5"/>
        <v>Female79</v>
      </c>
      <c r="FH6" s="14" t="str">
        <f t="shared" si="5"/>
        <v>Male81</v>
      </c>
      <c r="FI6" s="14" t="str">
        <f t="shared" si="5"/>
        <v>Female81</v>
      </c>
      <c r="FJ6" s="14" t="str">
        <f t="shared" si="5"/>
        <v>Male85</v>
      </c>
      <c r="FK6" s="14" t="str">
        <f t="shared" si="5"/>
        <v>Female85</v>
      </c>
      <c r="FL6" s="14" t="str">
        <f t="shared" si="5"/>
        <v>Male86</v>
      </c>
      <c r="FM6" s="14" t="str">
        <f t="shared" si="5"/>
        <v>Female86</v>
      </c>
      <c r="FN6" s="14" t="str">
        <f t="shared" si="5"/>
        <v>Female87</v>
      </c>
      <c r="FO6" s="14" t="str">
        <f t="shared" si="5"/>
        <v>Male87</v>
      </c>
      <c r="FP6" s="14" t="str">
        <f t="shared" si="5"/>
        <v>Male87</v>
      </c>
      <c r="FQ6" s="14" t="str">
        <f t="shared" si="5"/>
        <v>Male87</v>
      </c>
      <c r="FR6" s="14" t="str">
        <f t="shared" si="5"/>
        <v>Male87</v>
      </c>
      <c r="FS6" s="14" t="str">
        <f t="shared" si="5"/>
        <v>Male87</v>
      </c>
      <c r="FT6" s="14" t="str">
        <f t="shared" si="5"/>
        <v>Female88</v>
      </c>
      <c r="FU6" s="14" t="str">
        <f t="shared" si="5"/>
        <v>Female88</v>
      </c>
      <c r="FV6" s="14" t="str">
        <f t="shared" si="5"/>
        <v>Male88</v>
      </c>
      <c r="FW6" s="14" t="str">
        <f t="shared" si="5"/>
        <v>Male88</v>
      </c>
      <c r="FX6" s="14" t="str">
        <f t="shared" si="5"/>
        <v>Male93</v>
      </c>
      <c r="FY6" s="14" t="str">
        <f t="shared" si="5"/>
        <v>Male93</v>
      </c>
      <c r="FZ6" s="14" t="str">
        <f t="shared" si="5"/>
        <v>Female97</v>
      </c>
      <c r="GA6" s="14" t="str">
        <f t="shared" si="5"/>
        <v>Female97</v>
      </c>
      <c r="GB6" s="14" t="str">
        <f t="shared" si="5"/>
        <v>Male98</v>
      </c>
      <c r="GC6" s="14" t="str">
        <f t="shared" si="5"/>
        <v>Female98</v>
      </c>
      <c r="GD6" s="14" t="str">
        <f t="shared" si="5"/>
        <v>Female99</v>
      </c>
      <c r="GE6" s="14" t="str">
        <f t="shared" si="5"/>
        <v>Male99</v>
      </c>
      <c r="GF6" s="14" t="str">
        <f t="shared" si="5"/>
        <v>Female101</v>
      </c>
      <c r="GG6" s="14" t="str">
        <f t="shared" si="5"/>
        <v>Male101</v>
      </c>
      <c r="GH6" s="14" t="str">
        <f t="shared" si="5"/>
        <v>Female103</v>
      </c>
      <c r="GI6" s="14" t="str">
        <f t="shared" si="5"/>
        <v>Female103</v>
      </c>
      <c r="GJ6" s="14" t="str">
        <f t="shared" si="5"/>
        <v>Female103</v>
      </c>
      <c r="GK6" s="14" t="str">
        <f t="shared" si="5"/>
        <v>Female103</v>
      </c>
      <c r="GL6" s="14" t="str">
        <f t="shared" ref="GL6:GS6" si="6">_xlfn.CONCAT(GL2,GL4)</f>
        <v>Male113</v>
      </c>
      <c r="GM6" s="14" t="str">
        <f t="shared" si="6"/>
        <v>Female113</v>
      </c>
      <c r="GN6" s="14" t="str">
        <f t="shared" si="6"/>
        <v>Female120</v>
      </c>
      <c r="GO6" s="14" t="str">
        <f t="shared" si="6"/>
        <v>Female120</v>
      </c>
      <c r="GP6" s="14" t="str">
        <f t="shared" si="6"/>
        <v>Female126</v>
      </c>
      <c r="GQ6" s="14" t="str">
        <f t="shared" si="6"/>
        <v>Male126</v>
      </c>
      <c r="GR6" s="14" t="str">
        <f t="shared" si="6"/>
        <v>Male137</v>
      </c>
      <c r="GS6" s="14" t="str">
        <f t="shared" si="6"/>
        <v>Male137</v>
      </c>
    </row>
    <row r="11" spans="1:201" x14ac:dyDescent="0.3">
      <c r="A11" s="12" t="s">
        <v>16</v>
      </c>
      <c r="B11" s="12" t="s">
        <v>11</v>
      </c>
    </row>
    <row r="13" spans="1:201" x14ac:dyDescent="0.3">
      <c r="C13" t="str">
        <f>HLOOKUP(30,A1:GS6,2,0)</f>
        <v>Female</v>
      </c>
    </row>
    <row r="18" spans="1:6" x14ac:dyDescent="0.3">
      <c r="B18" s="12" t="s">
        <v>178</v>
      </c>
    </row>
    <row r="19" spans="1:6" x14ac:dyDescent="0.3">
      <c r="A19" t="s">
        <v>174</v>
      </c>
    </row>
    <row r="20" spans="1:6" x14ac:dyDescent="0.3">
      <c r="A20" t="s">
        <v>2</v>
      </c>
      <c r="E20" s="12"/>
    </row>
    <row r="21" spans="1:6" x14ac:dyDescent="0.3">
      <c r="A21" t="s">
        <v>179</v>
      </c>
      <c r="E21" s="17" t="s">
        <v>0</v>
      </c>
      <c r="F21">
        <v>1</v>
      </c>
    </row>
    <row r="22" spans="1:6" x14ac:dyDescent="0.3">
      <c r="A22" t="s">
        <v>175</v>
      </c>
      <c r="E22" s="17" t="s">
        <v>1</v>
      </c>
      <c r="F22">
        <v>2</v>
      </c>
    </row>
    <row r="23" spans="1:6" x14ac:dyDescent="0.3">
      <c r="E23" s="17" t="s">
        <v>2</v>
      </c>
      <c r="F23">
        <v>3</v>
      </c>
    </row>
    <row r="24" spans="1:6" x14ac:dyDescent="0.3">
      <c r="E24" s="17" t="s">
        <v>3</v>
      </c>
      <c r="F24">
        <v>4</v>
      </c>
    </row>
    <row r="25" spans="1:6" x14ac:dyDescent="0.3">
      <c r="E25" s="17" t="s">
        <v>4</v>
      </c>
      <c r="F25">
        <v>5</v>
      </c>
    </row>
    <row r="26" spans="1:6" x14ac:dyDescent="0.3">
      <c r="E26" s="17" t="s">
        <v>170</v>
      </c>
      <c r="F26">
        <v>6</v>
      </c>
    </row>
    <row r="42" spans="1:201" x14ac:dyDescent="0.3">
      <c r="A42" s="17" t="s">
        <v>0</v>
      </c>
      <c r="B42" s="14">
        <v>1</v>
      </c>
      <c r="C42" s="14">
        <v>2</v>
      </c>
      <c r="D42" s="14">
        <v>3</v>
      </c>
      <c r="E42" s="14">
        <v>4</v>
      </c>
      <c r="F42" s="14">
        <v>5</v>
      </c>
      <c r="G42" s="14">
        <v>6</v>
      </c>
      <c r="H42" s="14">
        <v>7</v>
      </c>
      <c r="I42" s="14">
        <v>8</v>
      </c>
      <c r="J42" s="14">
        <v>9</v>
      </c>
      <c r="K42" s="14">
        <v>10</v>
      </c>
      <c r="L42" s="14">
        <v>11</v>
      </c>
      <c r="M42" s="14">
        <v>12</v>
      </c>
      <c r="N42" s="14">
        <v>13</v>
      </c>
      <c r="O42" s="14">
        <v>14</v>
      </c>
      <c r="P42" s="14">
        <v>15</v>
      </c>
      <c r="Q42" s="14">
        <v>16</v>
      </c>
      <c r="R42" s="14">
        <v>17</v>
      </c>
      <c r="S42" s="14">
        <v>18</v>
      </c>
      <c r="T42" s="14">
        <v>19</v>
      </c>
      <c r="U42" s="14">
        <v>20</v>
      </c>
      <c r="V42" s="14">
        <v>21</v>
      </c>
      <c r="W42" s="14">
        <v>22</v>
      </c>
      <c r="X42" s="14">
        <v>23</v>
      </c>
      <c r="Y42" s="14">
        <v>24</v>
      </c>
      <c r="Z42" s="14">
        <v>25</v>
      </c>
      <c r="AA42" s="14">
        <v>26</v>
      </c>
      <c r="AB42" s="14">
        <v>27</v>
      </c>
      <c r="AC42" s="14">
        <v>28</v>
      </c>
      <c r="AD42" s="14">
        <v>29</v>
      </c>
      <c r="AE42" s="14">
        <v>30</v>
      </c>
      <c r="AF42" s="14">
        <v>31</v>
      </c>
      <c r="AG42" s="14">
        <v>32</v>
      </c>
      <c r="AH42" s="14">
        <v>33</v>
      </c>
      <c r="AI42" s="14">
        <v>34</v>
      </c>
      <c r="AJ42" s="14">
        <v>35</v>
      </c>
      <c r="AK42" s="14">
        <v>36</v>
      </c>
      <c r="AL42" s="14">
        <v>37</v>
      </c>
      <c r="AM42" s="14">
        <v>38</v>
      </c>
      <c r="AN42" s="14">
        <v>39</v>
      </c>
      <c r="AO42" s="14">
        <v>40</v>
      </c>
      <c r="AP42" s="14">
        <v>41</v>
      </c>
      <c r="AQ42" s="14">
        <v>42</v>
      </c>
      <c r="AR42" s="14">
        <v>43</v>
      </c>
      <c r="AS42" s="14">
        <v>44</v>
      </c>
      <c r="AT42" s="14">
        <v>45</v>
      </c>
      <c r="AU42" s="14">
        <v>46</v>
      </c>
      <c r="AV42" s="14">
        <v>47</v>
      </c>
      <c r="AW42" s="14">
        <v>48</v>
      </c>
      <c r="AX42" s="14">
        <v>49</v>
      </c>
      <c r="AY42" s="14">
        <v>50</v>
      </c>
      <c r="AZ42" s="14">
        <v>51</v>
      </c>
      <c r="BA42" s="14">
        <v>52</v>
      </c>
      <c r="BB42" s="14">
        <v>53</v>
      </c>
      <c r="BC42" s="14">
        <v>54</v>
      </c>
      <c r="BD42" s="14">
        <v>55</v>
      </c>
      <c r="BE42" s="14">
        <v>56</v>
      </c>
      <c r="BF42" s="14">
        <v>57</v>
      </c>
      <c r="BG42" s="14">
        <v>58</v>
      </c>
      <c r="BH42" s="14">
        <v>59</v>
      </c>
      <c r="BI42" s="14">
        <v>60</v>
      </c>
      <c r="BJ42" s="14">
        <v>61</v>
      </c>
      <c r="BK42" s="14">
        <v>62</v>
      </c>
      <c r="BL42" s="14">
        <v>63</v>
      </c>
      <c r="BM42" s="14">
        <v>64</v>
      </c>
      <c r="BN42" s="14">
        <v>65</v>
      </c>
      <c r="BO42" s="14">
        <v>66</v>
      </c>
      <c r="BP42" s="14">
        <v>67</v>
      </c>
      <c r="BQ42" s="14">
        <v>68</v>
      </c>
      <c r="BR42" s="14">
        <v>69</v>
      </c>
      <c r="BS42" s="14">
        <v>70</v>
      </c>
      <c r="BT42" s="14">
        <v>71</v>
      </c>
      <c r="BU42" s="14">
        <v>72</v>
      </c>
      <c r="BV42" s="14">
        <v>73</v>
      </c>
      <c r="BW42" s="14">
        <v>74</v>
      </c>
      <c r="BX42" s="14">
        <v>75</v>
      </c>
      <c r="BY42" s="14">
        <v>76</v>
      </c>
      <c r="BZ42" s="14">
        <v>77</v>
      </c>
      <c r="CA42" s="14">
        <v>78</v>
      </c>
      <c r="CB42" s="14">
        <v>79</v>
      </c>
      <c r="CC42" s="14">
        <v>80</v>
      </c>
      <c r="CD42" s="14">
        <v>81</v>
      </c>
      <c r="CE42" s="14">
        <v>82</v>
      </c>
      <c r="CF42" s="14">
        <v>83</v>
      </c>
      <c r="CG42" s="14">
        <v>84</v>
      </c>
      <c r="CH42" s="14">
        <v>85</v>
      </c>
      <c r="CI42" s="14">
        <v>86</v>
      </c>
      <c r="CJ42" s="14">
        <v>87</v>
      </c>
      <c r="CK42" s="14">
        <v>88</v>
      </c>
      <c r="CL42" s="14">
        <v>89</v>
      </c>
      <c r="CM42" s="14">
        <v>90</v>
      </c>
      <c r="CN42" s="14">
        <v>91</v>
      </c>
      <c r="CO42" s="14">
        <v>92</v>
      </c>
      <c r="CP42" s="14">
        <v>93</v>
      </c>
      <c r="CQ42" s="14">
        <v>94</v>
      </c>
      <c r="CR42" s="14">
        <v>95</v>
      </c>
      <c r="CS42" s="14">
        <v>96</v>
      </c>
      <c r="CT42" s="14">
        <v>97</v>
      </c>
      <c r="CU42" s="14">
        <v>98</v>
      </c>
      <c r="CV42" s="14">
        <v>99</v>
      </c>
      <c r="CW42" s="14">
        <v>100</v>
      </c>
      <c r="CX42" s="14">
        <v>101</v>
      </c>
      <c r="CY42" s="14">
        <v>102</v>
      </c>
      <c r="CZ42" s="14">
        <v>103</v>
      </c>
      <c r="DA42" s="14">
        <v>104</v>
      </c>
      <c r="DB42" s="14">
        <v>105</v>
      </c>
      <c r="DC42" s="14">
        <v>106</v>
      </c>
      <c r="DD42" s="14">
        <v>107</v>
      </c>
      <c r="DE42" s="14">
        <v>108</v>
      </c>
      <c r="DF42" s="14">
        <v>109</v>
      </c>
      <c r="DG42" s="14">
        <v>110</v>
      </c>
      <c r="DH42" s="14">
        <v>111</v>
      </c>
      <c r="DI42" s="14">
        <v>112</v>
      </c>
      <c r="DJ42" s="14">
        <v>113</v>
      </c>
      <c r="DK42" s="14">
        <v>114</v>
      </c>
      <c r="DL42" s="14">
        <v>115</v>
      </c>
      <c r="DM42" s="14">
        <v>116</v>
      </c>
      <c r="DN42" s="14">
        <v>117</v>
      </c>
      <c r="DO42" s="14">
        <v>118</v>
      </c>
      <c r="DP42" s="14">
        <v>119</v>
      </c>
      <c r="DQ42" s="14">
        <v>120</v>
      </c>
      <c r="DR42" s="14">
        <v>121</v>
      </c>
      <c r="DS42" s="14">
        <v>122</v>
      </c>
      <c r="DT42" s="14">
        <v>123</v>
      </c>
      <c r="DU42" s="14">
        <v>124</v>
      </c>
      <c r="DV42" s="14">
        <v>125</v>
      </c>
      <c r="DW42" s="14">
        <v>126</v>
      </c>
      <c r="DX42" s="14">
        <v>127</v>
      </c>
      <c r="DY42" s="14">
        <v>128</v>
      </c>
      <c r="DZ42" s="14">
        <v>129</v>
      </c>
      <c r="EA42" s="14">
        <v>130</v>
      </c>
      <c r="EB42" s="14">
        <v>131</v>
      </c>
      <c r="EC42" s="14">
        <v>132</v>
      </c>
      <c r="ED42" s="14">
        <v>133</v>
      </c>
      <c r="EE42" s="14">
        <v>134</v>
      </c>
      <c r="EF42" s="14">
        <v>135</v>
      </c>
      <c r="EG42" s="14">
        <v>136</v>
      </c>
      <c r="EH42" s="14">
        <v>137</v>
      </c>
      <c r="EI42" s="14">
        <v>138</v>
      </c>
      <c r="EJ42" s="14">
        <v>139</v>
      </c>
      <c r="EK42" s="14">
        <v>140</v>
      </c>
      <c r="EL42" s="14">
        <v>141</v>
      </c>
      <c r="EM42" s="14">
        <v>142</v>
      </c>
      <c r="EN42" s="14">
        <v>143</v>
      </c>
      <c r="EO42" s="14">
        <v>144</v>
      </c>
      <c r="EP42" s="14">
        <v>145</v>
      </c>
      <c r="EQ42" s="14">
        <v>146</v>
      </c>
      <c r="ER42" s="14">
        <v>147</v>
      </c>
      <c r="ES42" s="14">
        <v>148</v>
      </c>
      <c r="ET42" s="14">
        <v>149</v>
      </c>
      <c r="EU42" s="14">
        <v>150</v>
      </c>
      <c r="EV42" s="14">
        <v>151</v>
      </c>
      <c r="EW42" s="14">
        <v>152</v>
      </c>
      <c r="EX42" s="14">
        <v>153</v>
      </c>
      <c r="EY42" s="14">
        <v>154</v>
      </c>
      <c r="EZ42" s="14">
        <v>155</v>
      </c>
      <c r="FA42" s="14">
        <v>156</v>
      </c>
      <c r="FB42" s="14">
        <v>157</v>
      </c>
      <c r="FC42" s="14">
        <v>158</v>
      </c>
      <c r="FD42" s="14">
        <v>159</v>
      </c>
      <c r="FE42" s="14">
        <v>160</v>
      </c>
      <c r="FF42" s="14">
        <v>161</v>
      </c>
      <c r="FG42" s="14">
        <v>162</v>
      </c>
      <c r="FH42" s="14">
        <v>163</v>
      </c>
      <c r="FI42" s="14">
        <v>164</v>
      </c>
      <c r="FJ42" s="14">
        <v>165</v>
      </c>
      <c r="FK42" s="14">
        <v>166</v>
      </c>
      <c r="FL42" s="14">
        <v>167</v>
      </c>
      <c r="FM42" s="14">
        <v>168</v>
      </c>
      <c r="FN42" s="14">
        <v>169</v>
      </c>
      <c r="FO42" s="14">
        <v>170</v>
      </c>
      <c r="FP42" s="14">
        <v>171</v>
      </c>
      <c r="FQ42" s="14">
        <v>172</v>
      </c>
      <c r="FR42" s="14">
        <v>173</v>
      </c>
      <c r="FS42" s="14">
        <v>174</v>
      </c>
      <c r="FT42" s="14">
        <v>175</v>
      </c>
      <c r="FU42" s="14">
        <v>176</v>
      </c>
      <c r="FV42" s="14">
        <v>177</v>
      </c>
      <c r="FW42" s="14">
        <v>178</v>
      </c>
      <c r="FX42" s="14">
        <v>179</v>
      </c>
      <c r="FY42" s="14">
        <v>180</v>
      </c>
      <c r="FZ42" s="14">
        <v>181</v>
      </c>
      <c r="GA42" s="14">
        <v>182</v>
      </c>
      <c r="GB42" s="14">
        <v>183</v>
      </c>
      <c r="GC42" s="14">
        <v>184</v>
      </c>
      <c r="GD42" s="14">
        <v>185</v>
      </c>
      <c r="GE42" s="14">
        <v>186</v>
      </c>
      <c r="GF42" s="14">
        <v>187</v>
      </c>
      <c r="GG42" s="14">
        <v>188</v>
      </c>
      <c r="GH42" s="14">
        <v>189</v>
      </c>
      <c r="GI42" s="14">
        <v>190</v>
      </c>
      <c r="GJ42" s="14">
        <v>191</v>
      </c>
      <c r="GK42" s="14">
        <v>192</v>
      </c>
      <c r="GL42" s="14">
        <v>193</v>
      </c>
      <c r="GM42" s="14">
        <v>194</v>
      </c>
      <c r="GN42" s="14">
        <v>195</v>
      </c>
      <c r="GO42" s="14">
        <v>196</v>
      </c>
      <c r="GP42" s="14">
        <v>197</v>
      </c>
      <c r="GQ42" s="14">
        <v>198</v>
      </c>
      <c r="GR42" s="14">
        <v>199</v>
      </c>
      <c r="GS42" s="14">
        <v>200</v>
      </c>
    </row>
    <row r="43" spans="1:201" x14ac:dyDescent="0.3">
      <c r="A43" s="17" t="s">
        <v>1</v>
      </c>
      <c r="B43" s="14" t="s">
        <v>5</v>
      </c>
      <c r="C43" s="14" t="s">
        <v>5</v>
      </c>
      <c r="D43" s="14" t="s">
        <v>9</v>
      </c>
      <c r="E43" s="14" t="s">
        <v>9</v>
      </c>
      <c r="F43" s="14" t="s">
        <v>9</v>
      </c>
      <c r="G43" s="14" t="s">
        <v>9</v>
      </c>
      <c r="H43" s="14" t="s">
        <v>9</v>
      </c>
      <c r="I43" s="14" t="s">
        <v>9</v>
      </c>
      <c r="J43" s="14" t="s">
        <v>5</v>
      </c>
      <c r="K43" s="14" t="s">
        <v>9</v>
      </c>
      <c r="L43" s="14" t="s">
        <v>5</v>
      </c>
      <c r="M43" s="14" t="s">
        <v>9</v>
      </c>
      <c r="N43" s="14" t="s">
        <v>9</v>
      </c>
      <c r="O43" s="14" t="s">
        <v>9</v>
      </c>
      <c r="P43" s="14" t="s">
        <v>5</v>
      </c>
      <c r="Q43" s="14" t="s">
        <v>5</v>
      </c>
      <c r="R43" s="14" t="s">
        <v>9</v>
      </c>
      <c r="S43" s="14" t="s">
        <v>5</v>
      </c>
      <c r="T43" s="14" t="s">
        <v>5</v>
      </c>
      <c r="U43" s="14" t="s">
        <v>9</v>
      </c>
      <c r="V43" s="14" t="s">
        <v>5</v>
      </c>
      <c r="W43" s="14" t="s">
        <v>5</v>
      </c>
      <c r="X43" s="14" t="s">
        <v>9</v>
      </c>
      <c r="Y43" s="14" t="s">
        <v>5</v>
      </c>
      <c r="Z43" s="14" t="s">
        <v>9</v>
      </c>
      <c r="AA43" s="14" t="s">
        <v>5</v>
      </c>
      <c r="AB43" s="14" t="s">
        <v>9</v>
      </c>
      <c r="AC43" s="14" t="s">
        <v>5</v>
      </c>
      <c r="AD43" s="14" t="s">
        <v>9</v>
      </c>
      <c r="AE43" s="14" t="s">
        <v>9</v>
      </c>
      <c r="AF43" s="14" t="s">
        <v>5</v>
      </c>
      <c r="AG43" s="14" t="s">
        <v>9</v>
      </c>
      <c r="AH43" s="14" t="s">
        <v>5</v>
      </c>
      <c r="AI43" s="14" t="s">
        <v>5</v>
      </c>
      <c r="AJ43" s="14" t="s">
        <v>9</v>
      </c>
      <c r="AK43" s="14" t="s">
        <v>9</v>
      </c>
      <c r="AL43" s="14" t="s">
        <v>9</v>
      </c>
      <c r="AM43" s="14" t="s">
        <v>9</v>
      </c>
      <c r="AN43" s="14" t="s">
        <v>9</v>
      </c>
      <c r="AO43" s="14" t="s">
        <v>9</v>
      </c>
      <c r="AP43" s="14" t="s">
        <v>9</v>
      </c>
      <c r="AQ43" s="14" t="s">
        <v>5</v>
      </c>
      <c r="AR43" s="14" t="s">
        <v>5</v>
      </c>
      <c r="AS43" s="14" t="s">
        <v>9</v>
      </c>
      <c r="AT43" s="14" t="s">
        <v>9</v>
      </c>
      <c r="AU43" s="14" t="s">
        <v>9</v>
      </c>
      <c r="AV43" s="14" t="s">
        <v>9</v>
      </c>
      <c r="AW43" s="14" t="s">
        <v>9</v>
      </c>
      <c r="AX43" s="14" t="s">
        <v>9</v>
      </c>
      <c r="AY43" s="14" t="s">
        <v>9</v>
      </c>
      <c r="AZ43" s="14" t="s">
        <v>9</v>
      </c>
      <c r="BA43" s="14" t="s">
        <v>5</v>
      </c>
      <c r="BB43" s="14" t="s">
        <v>9</v>
      </c>
      <c r="BC43" s="14" t="s">
        <v>5</v>
      </c>
      <c r="BD43" s="14" t="s">
        <v>9</v>
      </c>
      <c r="BE43" s="14" t="s">
        <v>5</v>
      </c>
      <c r="BF43" s="14" t="s">
        <v>9</v>
      </c>
      <c r="BG43" s="14" t="s">
        <v>5</v>
      </c>
      <c r="BH43" s="14" t="s">
        <v>9</v>
      </c>
      <c r="BI43" s="14" t="s">
        <v>5</v>
      </c>
      <c r="BJ43" s="14" t="s">
        <v>5</v>
      </c>
      <c r="BK43" s="14" t="s">
        <v>5</v>
      </c>
      <c r="BL43" s="14" t="s">
        <v>9</v>
      </c>
      <c r="BM43" s="14" t="s">
        <v>9</v>
      </c>
      <c r="BN43" s="14" t="s">
        <v>5</v>
      </c>
      <c r="BO43" s="14" t="s">
        <v>5</v>
      </c>
      <c r="BP43" s="14" t="s">
        <v>9</v>
      </c>
      <c r="BQ43" s="14" t="s">
        <v>9</v>
      </c>
      <c r="BR43" s="14" t="s">
        <v>5</v>
      </c>
      <c r="BS43" s="14" t="s">
        <v>9</v>
      </c>
      <c r="BT43" s="14" t="s">
        <v>5</v>
      </c>
      <c r="BU43" s="14" t="s">
        <v>9</v>
      </c>
      <c r="BV43" s="14" t="s">
        <v>9</v>
      </c>
      <c r="BW43" s="14" t="s">
        <v>9</v>
      </c>
      <c r="BX43" s="14" t="s">
        <v>5</v>
      </c>
      <c r="BY43" s="14" t="s">
        <v>5</v>
      </c>
      <c r="BZ43" s="14" t="s">
        <v>9</v>
      </c>
      <c r="CA43" s="14" t="s">
        <v>5</v>
      </c>
      <c r="CB43" s="14" t="s">
        <v>9</v>
      </c>
      <c r="CC43" s="14" t="s">
        <v>9</v>
      </c>
      <c r="CD43" s="14" t="s">
        <v>5</v>
      </c>
      <c r="CE43" s="14" t="s">
        <v>5</v>
      </c>
      <c r="CF43" s="14" t="s">
        <v>5</v>
      </c>
      <c r="CG43" s="14" t="s">
        <v>9</v>
      </c>
      <c r="CH43" s="14" t="s">
        <v>9</v>
      </c>
      <c r="CI43" s="14" t="s">
        <v>5</v>
      </c>
      <c r="CJ43" s="14" t="s">
        <v>9</v>
      </c>
      <c r="CK43" s="14" t="s">
        <v>9</v>
      </c>
      <c r="CL43" s="14" t="s">
        <v>9</v>
      </c>
      <c r="CM43" s="14" t="s">
        <v>9</v>
      </c>
      <c r="CN43" s="14" t="s">
        <v>9</v>
      </c>
      <c r="CO43" s="14" t="s">
        <v>5</v>
      </c>
      <c r="CP43" s="14" t="s">
        <v>5</v>
      </c>
      <c r="CQ43" s="14" t="s">
        <v>9</v>
      </c>
      <c r="CR43" s="14" t="s">
        <v>9</v>
      </c>
      <c r="CS43" s="14" t="s">
        <v>5</v>
      </c>
      <c r="CT43" s="14" t="s">
        <v>9</v>
      </c>
      <c r="CU43" s="14" t="s">
        <v>9</v>
      </c>
      <c r="CV43" s="14" t="s">
        <v>5</v>
      </c>
      <c r="CW43" s="14" t="s">
        <v>5</v>
      </c>
      <c r="CX43" s="14" t="s">
        <v>9</v>
      </c>
      <c r="CY43" s="14" t="s">
        <v>9</v>
      </c>
      <c r="CZ43" s="14" t="s">
        <v>5</v>
      </c>
      <c r="DA43" s="14" t="s">
        <v>5</v>
      </c>
      <c r="DB43" s="14" t="s">
        <v>5</v>
      </c>
      <c r="DC43" s="14" t="s">
        <v>9</v>
      </c>
      <c r="DD43" s="14" t="s">
        <v>9</v>
      </c>
      <c r="DE43" s="14" t="s">
        <v>5</v>
      </c>
      <c r="DF43" s="14" t="s">
        <v>5</v>
      </c>
      <c r="DG43" s="14" t="s">
        <v>5</v>
      </c>
      <c r="DH43" s="14" t="s">
        <v>5</v>
      </c>
      <c r="DI43" s="14" t="s">
        <v>9</v>
      </c>
      <c r="DJ43" s="14" t="s">
        <v>9</v>
      </c>
      <c r="DK43" s="14" t="s">
        <v>5</v>
      </c>
      <c r="DL43" s="14" t="s">
        <v>9</v>
      </c>
      <c r="DM43" s="14" t="s">
        <v>9</v>
      </c>
      <c r="DN43" s="14" t="s">
        <v>9</v>
      </c>
      <c r="DO43" s="14" t="s">
        <v>9</v>
      </c>
      <c r="DP43" s="14" t="s">
        <v>9</v>
      </c>
      <c r="DQ43" s="14" t="s">
        <v>9</v>
      </c>
      <c r="DR43" s="14" t="s">
        <v>5</v>
      </c>
      <c r="DS43" s="14" t="s">
        <v>9</v>
      </c>
      <c r="DT43" s="14" t="s">
        <v>9</v>
      </c>
      <c r="DU43" s="14" t="s">
        <v>5</v>
      </c>
      <c r="DV43" s="14" t="s">
        <v>9</v>
      </c>
      <c r="DW43" s="14" t="s">
        <v>9</v>
      </c>
      <c r="DX43" s="14" t="s">
        <v>5</v>
      </c>
      <c r="DY43" s="14" t="s">
        <v>5</v>
      </c>
      <c r="DZ43" s="14" t="s">
        <v>5</v>
      </c>
      <c r="EA43" s="14" t="s">
        <v>5</v>
      </c>
      <c r="EB43" s="14" t="s">
        <v>5</v>
      </c>
      <c r="EC43" s="14" t="s">
        <v>5</v>
      </c>
      <c r="ED43" s="14" t="s">
        <v>9</v>
      </c>
      <c r="EE43" s="14" t="s">
        <v>9</v>
      </c>
      <c r="EF43" s="14" t="s">
        <v>5</v>
      </c>
      <c r="EG43" s="14" t="s">
        <v>9</v>
      </c>
      <c r="EH43" s="14" t="s">
        <v>9</v>
      </c>
      <c r="EI43" s="14" t="s">
        <v>5</v>
      </c>
      <c r="EJ43" s="14" t="s">
        <v>5</v>
      </c>
      <c r="EK43" s="14" t="s">
        <v>9</v>
      </c>
      <c r="EL43" s="14" t="s">
        <v>9</v>
      </c>
      <c r="EM43" s="14" t="s">
        <v>5</v>
      </c>
      <c r="EN43" s="14" t="s">
        <v>9</v>
      </c>
      <c r="EO43" s="14" t="s">
        <v>9</v>
      </c>
      <c r="EP43" s="14" t="s">
        <v>5</v>
      </c>
      <c r="EQ43" s="14" t="s">
        <v>5</v>
      </c>
      <c r="ER43" s="14" t="s">
        <v>5</v>
      </c>
      <c r="ES43" s="14" t="s">
        <v>9</v>
      </c>
      <c r="ET43" s="14" t="s">
        <v>9</v>
      </c>
      <c r="EU43" s="14" t="s">
        <v>5</v>
      </c>
      <c r="EV43" s="14" t="s">
        <v>5</v>
      </c>
      <c r="EW43" s="14" t="s">
        <v>5</v>
      </c>
      <c r="EX43" s="14" t="s">
        <v>9</v>
      </c>
      <c r="EY43" s="14" t="s">
        <v>9</v>
      </c>
      <c r="EZ43" s="14" t="s">
        <v>9</v>
      </c>
      <c r="FA43" s="14" t="s">
        <v>9</v>
      </c>
      <c r="FB43" s="14" t="s">
        <v>5</v>
      </c>
      <c r="FC43" s="14" t="s">
        <v>9</v>
      </c>
      <c r="FD43" s="14" t="s">
        <v>5</v>
      </c>
      <c r="FE43" s="14" t="s">
        <v>9</v>
      </c>
      <c r="FF43" s="14" t="s">
        <v>9</v>
      </c>
      <c r="FG43" s="14" t="s">
        <v>9</v>
      </c>
      <c r="FH43" s="14" t="s">
        <v>5</v>
      </c>
      <c r="FI43" s="14" t="s">
        <v>9</v>
      </c>
      <c r="FJ43" s="14" t="s">
        <v>5</v>
      </c>
      <c r="FK43" s="14" t="s">
        <v>9</v>
      </c>
      <c r="FL43" s="14" t="s">
        <v>5</v>
      </c>
      <c r="FM43" s="14" t="s">
        <v>9</v>
      </c>
      <c r="FN43" s="14" t="s">
        <v>9</v>
      </c>
      <c r="FO43" s="14" t="s">
        <v>5</v>
      </c>
      <c r="FP43" s="14" t="s">
        <v>5</v>
      </c>
      <c r="FQ43" s="14" t="s">
        <v>5</v>
      </c>
      <c r="FR43" s="14" t="s">
        <v>5</v>
      </c>
      <c r="FS43" s="14" t="s">
        <v>5</v>
      </c>
      <c r="FT43" s="14" t="s">
        <v>9</v>
      </c>
      <c r="FU43" s="14" t="s">
        <v>9</v>
      </c>
      <c r="FV43" s="14" t="s">
        <v>5</v>
      </c>
      <c r="FW43" s="14" t="s">
        <v>5</v>
      </c>
      <c r="FX43" s="14" t="s">
        <v>5</v>
      </c>
      <c r="FY43" s="14" t="s">
        <v>5</v>
      </c>
      <c r="FZ43" s="14" t="s">
        <v>9</v>
      </c>
      <c r="GA43" s="14" t="s">
        <v>9</v>
      </c>
      <c r="GB43" s="14" t="s">
        <v>5</v>
      </c>
      <c r="GC43" s="14" t="s">
        <v>9</v>
      </c>
      <c r="GD43" s="14" t="s">
        <v>9</v>
      </c>
      <c r="GE43" s="14" t="s">
        <v>5</v>
      </c>
      <c r="GF43" s="14" t="s">
        <v>9</v>
      </c>
      <c r="GG43" s="14" t="s">
        <v>5</v>
      </c>
      <c r="GH43" s="14" t="s">
        <v>9</v>
      </c>
      <c r="GI43" s="14" t="s">
        <v>9</v>
      </c>
      <c r="GJ43" s="14" t="s">
        <v>9</v>
      </c>
      <c r="GK43" s="14" t="s">
        <v>9</v>
      </c>
      <c r="GL43" s="14" t="s">
        <v>5</v>
      </c>
      <c r="GM43" s="14" t="s">
        <v>9</v>
      </c>
      <c r="GN43" s="14" t="s">
        <v>9</v>
      </c>
      <c r="GO43" s="14" t="s">
        <v>9</v>
      </c>
      <c r="GP43" s="14" t="s">
        <v>9</v>
      </c>
      <c r="GQ43" s="14" t="s">
        <v>5</v>
      </c>
      <c r="GR43" s="14" t="s">
        <v>5</v>
      </c>
      <c r="GS43" s="14" t="s">
        <v>5</v>
      </c>
    </row>
    <row r="44" spans="1:201" x14ac:dyDescent="0.3">
      <c r="A44" s="17" t="s">
        <v>2</v>
      </c>
      <c r="B44" s="14">
        <v>19</v>
      </c>
      <c r="C44" s="14">
        <v>21</v>
      </c>
      <c r="D44" s="14">
        <v>20</v>
      </c>
      <c r="E44" s="14">
        <v>23</v>
      </c>
      <c r="F44" s="14">
        <v>31</v>
      </c>
      <c r="G44" s="14">
        <v>22</v>
      </c>
      <c r="H44" s="14">
        <v>35</v>
      </c>
      <c r="I44" s="14">
        <v>23</v>
      </c>
      <c r="J44" s="14">
        <v>64</v>
      </c>
      <c r="K44" s="14">
        <v>30</v>
      </c>
      <c r="L44" s="14">
        <v>67</v>
      </c>
      <c r="M44" s="14">
        <v>35</v>
      </c>
      <c r="N44" s="14">
        <v>58</v>
      </c>
      <c r="O44" s="14">
        <v>24</v>
      </c>
      <c r="P44" s="14">
        <v>37</v>
      </c>
      <c r="Q44" s="14">
        <v>22</v>
      </c>
      <c r="R44" s="14">
        <v>35</v>
      </c>
      <c r="S44" s="14">
        <v>20</v>
      </c>
      <c r="T44" s="14">
        <v>52</v>
      </c>
      <c r="U44" s="14">
        <v>35</v>
      </c>
      <c r="V44" s="14">
        <v>35</v>
      </c>
      <c r="W44" s="14">
        <v>25</v>
      </c>
      <c r="X44" s="14">
        <v>46</v>
      </c>
      <c r="Y44" s="14">
        <v>31</v>
      </c>
      <c r="Z44" s="14">
        <v>54</v>
      </c>
      <c r="AA44" s="14">
        <v>29</v>
      </c>
      <c r="AB44" s="14">
        <v>45</v>
      </c>
      <c r="AC44" s="14">
        <v>35</v>
      </c>
      <c r="AD44" s="14">
        <v>40</v>
      </c>
      <c r="AE44" s="14">
        <v>23</v>
      </c>
      <c r="AF44" s="14">
        <v>60</v>
      </c>
      <c r="AG44" s="14">
        <v>21</v>
      </c>
      <c r="AH44" s="14">
        <v>53</v>
      </c>
      <c r="AI44" s="14">
        <v>18</v>
      </c>
      <c r="AJ44" s="14">
        <v>49</v>
      </c>
      <c r="AK44" s="14">
        <v>21</v>
      </c>
      <c r="AL44" s="14">
        <v>42</v>
      </c>
      <c r="AM44" s="14">
        <v>30</v>
      </c>
      <c r="AN44" s="14">
        <v>36</v>
      </c>
      <c r="AO44" s="14">
        <v>20</v>
      </c>
      <c r="AP44" s="14">
        <v>65</v>
      </c>
      <c r="AQ44" s="14">
        <v>24</v>
      </c>
      <c r="AR44" s="14">
        <v>48</v>
      </c>
      <c r="AS44" s="14">
        <v>31</v>
      </c>
      <c r="AT44" s="14">
        <v>49</v>
      </c>
      <c r="AU44" s="14">
        <v>24</v>
      </c>
      <c r="AV44" s="14">
        <v>50</v>
      </c>
      <c r="AW44" s="14">
        <v>27</v>
      </c>
      <c r="AX44" s="14">
        <v>29</v>
      </c>
      <c r="AY44" s="14">
        <v>31</v>
      </c>
      <c r="AZ44" s="14">
        <v>49</v>
      </c>
      <c r="BA44" s="14">
        <v>33</v>
      </c>
      <c r="BB44" s="14">
        <v>31</v>
      </c>
      <c r="BC44" s="14">
        <v>59</v>
      </c>
      <c r="BD44" s="14">
        <v>50</v>
      </c>
      <c r="BE44" s="14">
        <v>47</v>
      </c>
      <c r="BF44" s="14">
        <v>51</v>
      </c>
      <c r="BG44" s="14">
        <v>69</v>
      </c>
      <c r="BH44" s="14">
        <v>27</v>
      </c>
      <c r="BI44" s="14">
        <v>53</v>
      </c>
      <c r="BJ44" s="14">
        <v>70</v>
      </c>
      <c r="BK44" s="14">
        <v>19</v>
      </c>
      <c r="BL44" s="14">
        <v>67</v>
      </c>
      <c r="BM44" s="14">
        <v>54</v>
      </c>
      <c r="BN44" s="14">
        <v>63</v>
      </c>
      <c r="BO44" s="14">
        <v>18</v>
      </c>
      <c r="BP44" s="14">
        <v>43</v>
      </c>
      <c r="BQ44" s="14">
        <v>68</v>
      </c>
      <c r="BR44" s="14">
        <v>19</v>
      </c>
      <c r="BS44" s="14">
        <v>32</v>
      </c>
      <c r="BT44" s="14">
        <v>70</v>
      </c>
      <c r="BU44" s="14">
        <v>47</v>
      </c>
      <c r="BV44" s="14">
        <v>60</v>
      </c>
      <c r="BW44" s="14">
        <v>60</v>
      </c>
      <c r="BX44" s="14">
        <v>59</v>
      </c>
      <c r="BY44" s="14">
        <v>26</v>
      </c>
      <c r="BZ44" s="14">
        <v>45</v>
      </c>
      <c r="CA44" s="14">
        <v>40</v>
      </c>
      <c r="CB44" s="14">
        <v>23</v>
      </c>
      <c r="CC44" s="14">
        <v>49</v>
      </c>
      <c r="CD44" s="14">
        <v>57</v>
      </c>
      <c r="CE44" s="14">
        <v>38</v>
      </c>
      <c r="CF44" s="14">
        <v>67</v>
      </c>
      <c r="CG44" s="14">
        <v>46</v>
      </c>
      <c r="CH44" s="14">
        <v>21</v>
      </c>
      <c r="CI44" s="14">
        <v>48</v>
      </c>
      <c r="CJ44" s="14">
        <v>55</v>
      </c>
      <c r="CK44" s="14">
        <v>22</v>
      </c>
      <c r="CL44" s="14">
        <v>34</v>
      </c>
      <c r="CM44" s="14">
        <v>50</v>
      </c>
      <c r="CN44" s="14">
        <v>68</v>
      </c>
      <c r="CO44" s="14">
        <v>18</v>
      </c>
      <c r="CP44" s="14">
        <v>48</v>
      </c>
      <c r="CQ44" s="14">
        <v>40</v>
      </c>
      <c r="CR44" s="14">
        <v>32</v>
      </c>
      <c r="CS44" s="14">
        <v>24</v>
      </c>
      <c r="CT44" s="14">
        <v>47</v>
      </c>
      <c r="CU44" s="14">
        <v>27</v>
      </c>
      <c r="CV44" s="14">
        <v>48</v>
      </c>
      <c r="CW44" s="14">
        <v>20</v>
      </c>
      <c r="CX44" s="14">
        <v>23</v>
      </c>
      <c r="CY44" s="14">
        <v>49</v>
      </c>
      <c r="CZ44" s="14">
        <v>67</v>
      </c>
      <c r="DA44" s="14">
        <v>26</v>
      </c>
      <c r="DB44" s="14">
        <v>49</v>
      </c>
      <c r="DC44" s="14">
        <v>21</v>
      </c>
      <c r="DD44" s="14">
        <v>66</v>
      </c>
      <c r="DE44" s="14">
        <v>54</v>
      </c>
      <c r="DF44" s="14">
        <v>68</v>
      </c>
      <c r="DG44" s="14">
        <v>66</v>
      </c>
      <c r="DH44" s="14">
        <v>65</v>
      </c>
      <c r="DI44" s="14">
        <v>19</v>
      </c>
      <c r="DJ44" s="14">
        <v>38</v>
      </c>
      <c r="DK44" s="14">
        <v>19</v>
      </c>
      <c r="DL44" s="14">
        <v>18</v>
      </c>
      <c r="DM44" s="14">
        <v>19</v>
      </c>
      <c r="DN44" s="14">
        <v>63</v>
      </c>
      <c r="DO44" s="14">
        <v>49</v>
      </c>
      <c r="DP44" s="14">
        <v>51</v>
      </c>
      <c r="DQ44" s="14">
        <v>50</v>
      </c>
      <c r="DR44" s="14">
        <v>27</v>
      </c>
      <c r="DS44" s="14">
        <v>38</v>
      </c>
      <c r="DT44" s="14">
        <v>40</v>
      </c>
      <c r="DU44" s="14">
        <v>39</v>
      </c>
      <c r="DV44" s="14">
        <v>23</v>
      </c>
      <c r="DW44" s="14">
        <v>31</v>
      </c>
      <c r="DX44" s="14">
        <v>43</v>
      </c>
      <c r="DY44" s="14">
        <v>40</v>
      </c>
      <c r="DZ44" s="14">
        <v>59</v>
      </c>
      <c r="EA44" s="14">
        <v>38</v>
      </c>
      <c r="EB44" s="14">
        <v>47</v>
      </c>
      <c r="EC44" s="14">
        <v>39</v>
      </c>
      <c r="ED44" s="14">
        <v>25</v>
      </c>
      <c r="EE44" s="14">
        <v>31</v>
      </c>
      <c r="EF44" s="14">
        <v>20</v>
      </c>
      <c r="EG44" s="14">
        <v>29</v>
      </c>
      <c r="EH44" s="14">
        <v>44</v>
      </c>
      <c r="EI44" s="14">
        <v>32</v>
      </c>
      <c r="EJ44" s="14">
        <v>19</v>
      </c>
      <c r="EK44" s="14">
        <v>35</v>
      </c>
      <c r="EL44" s="14">
        <v>57</v>
      </c>
      <c r="EM44" s="14">
        <v>32</v>
      </c>
      <c r="EN44" s="14">
        <v>28</v>
      </c>
      <c r="EO44" s="14">
        <v>32</v>
      </c>
      <c r="EP44" s="14">
        <v>25</v>
      </c>
      <c r="EQ44" s="14">
        <v>28</v>
      </c>
      <c r="ER44" s="14">
        <v>48</v>
      </c>
      <c r="ES44" s="14">
        <v>32</v>
      </c>
      <c r="ET44" s="14">
        <v>34</v>
      </c>
      <c r="EU44" s="14">
        <v>34</v>
      </c>
      <c r="EV44" s="14">
        <v>43</v>
      </c>
      <c r="EW44" s="14">
        <v>39</v>
      </c>
      <c r="EX44" s="14">
        <v>44</v>
      </c>
      <c r="EY44" s="14">
        <v>38</v>
      </c>
      <c r="EZ44" s="14">
        <v>47</v>
      </c>
      <c r="FA44" s="14">
        <v>27</v>
      </c>
      <c r="FB44" s="14">
        <v>37</v>
      </c>
      <c r="FC44" s="14">
        <v>30</v>
      </c>
      <c r="FD44" s="14">
        <v>34</v>
      </c>
      <c r="FE44" s="14">
        <v>30</v>
      </c>
      <c r="FF44" s="14">
        <v>56</v>
      </c>
      <c r="FG44" s="14">
        <v>29</v>
      </c>
      <c r="FH44" s="14">
        <v>19</v>
      </c>
      <c r="FI44" s="14">
        <v>31</v>
      </c>
      <c r="FJ44" s="14">
        <v>50</v>
      </c>
      <c r="FK44" s="14">
        <v>36</v>
      </c>
      <c r="FL44" s="14">
        <v>42</v>
      </c>
      <c r="FM44" s="14">
        <v>33</v>
      </c>
      <c r="FN44" s="14">
        <v>36</v>
      </c>
      <c r="FO44" s="14">
        <v>32</v>
      </c>
      <c r="FP44" s="14">
        <v>40</v>
      </c>
      <c r="FQ44" s="14">
        <v>28</v>
      </c>
      <c r="FR44" s="14">
        <v>36</v>
      </c>
      <c r="FS44" s="14">
        <v>36</v>
      </c>
      <c r="FT44" s="14">
        <v>52</v>
      </c>
      <c r="FU44" s="14">
        <v>30</v>
      </c>
      <c r="FV44" s="14">
        <v>58</v>
      </c>
      <c r="FW44" s="14">
        <v>27</v>
      </c>
      <c r="FX44" s="14">
        <v>59</v>
      </c>
      <c r="FY44" s="14">
        <v>35</v>
      </c>
      <c r="FZ44" s="14">
        <v>37</v>
      </c>
      <c r="GA44" s="14">
        <v>32</v>
      </c>
      <c r="GB44" s="14">
        <v>46</v>
      </c>
      <c r="GC44" s="14">
        <v>29</v>
      </c>
      <c r="GD44" s="14">
        <v>41</v>
      </c>
      <c r="GE44" s="14">
        <v>30</v>
      </c>
      <c r="GF44" s="14">
        <v>54</v>
      </c>
      <c r="GG44" s="14">
        <v>28</v>
      </c>
      <c r="GH44" s="14">
        <v>41</v>
      </c>
      <c r="GI44" s="14">
        <v>36</v>
      </c>
      <c r="GJ44" s="14">
        <v>34</v>
      </c>
      <c r="GK44" s="14">
        <v>32</v>
      </c>
      <c r="GL44" s="14">
        <v>33</v>
      </c>
      <c r="GM44" s="14">
        <v>38</v>
      </c>
      <c r="GN44" s="14">
        <v>47</v>
      </c>
      <c r="GO44" s="14">
        <v>35</v>
      </c>
      <c r="GP44" s="14">
        <v>45</v>
      </c>
      <c r="GQ44" s="14">
        <v>32</v>
      </c>
      <c r="GR44" s="14">
        <v>32</v>
      </c>
      <c r="GS44" s="14">
        <v>30</v>
      </c>
    </row>
    <row r="45" spans="1:201" x14ac:dyDescent="0.3">
      <c r="A45" s="17" t="s">
        <v>3</v>
      </c>
      <c r="B45" s="14">
        <v>15</v>
      </c>
      <c r="C45" s="14">
        <v>15</v>
      </c>
      <c r="D45" s="14">
        <v>16</v>
      </c>
      <c r="E45" s="14">
        <v>16</v>
      </c>
      <c r="F45" s="14">
        <v>17</v>
      </c>
      <c r="G45" s="14">
        <v>17</v>
      </c>
      <c r="H45" s="14">
        <v>18</v>
      </c>
      <c r="I45" s="14">
        <v>18</v>
      </c>
      <c r="J45" s="14">
        <v>19</v>
      </c>
      <c r="K45" s="14">
        <v>19</v>
      </c>
      <c r="L45" s="14">
        <v>19</v>
      </c>
      <c r="M45" s="14">
        <v>19</v>
      </c>
      <c r="N45" s="14">
        <v>20</v>
      </c>
      <c r="O45" s="14">
        <v>20</v>
      </c>
      <c r="P45" s="14">
        <v>20</v>
      </c>
      <c r="Q45" s="14">
        <v>20</v>
      </c>
      <c r="R45" s="14">
        <v>21</v>
      </c>
      <c r="S45" s="14">
        <v>21</v>
      </c>
      <c r="T45" s="14">
        <v>23</v>
      </c>
      <c r="U45" s="14">
        <v>23</v>
      </c>
      <c r="V45" s="14">
        <v>24</v>
      </c>
      <c r="W45" s="14">
        <v>24</v>
      </c>
      <c r="X45" s="14">
        <v>25</v>
      </c>
      <c r="Y45" s="14">
        <v>25</v>
      </c>
      <c r="Z45" s="14">
        <v>28</v>
      </c>
      <c r="AA45" s="14">
        <v>28</v>
      </c>
      <c r="AB45" s="14">
        <v>28</v>
      </c>
      <c r="AC45" s="14">
        <v>28</v>
      </c>
      <c r="AD45" s="14">
        <v>29</v>
      </c>
      <c r="AE45" s="14">
        <v>29</v>
      </c>
      <c r="AF45" s="14">
        <v>30</v>
      </c>
      <c r="AG45" s="14">
        <v>30</v>
      </c>
      <c r="AH45" s="14">
        <v>33</v>
      </c>
      <c r="AI45" s="14">
        <v>33</v>
      </c>
      <c r="AJ45" s="14">
        <v>33</v>
      </c>
      <c r="AK45" s="14">
        <v>33</v>
      </c>
      <c r="AL45" s="14">
        <v>34</v>
      </c>
      <c r="AM45" s="14">
        <v>34</v>
      </c>
      <c r="AN45" s="14">
        <v>37</v>
      </c>
      <c r="AO45" s="14">
        <v>37</v>
      </c>
      <c r="AP45" s="14">
        <v>38</v>
      </c>
      <c r="AQ45" s="14">
        <v>38</v>
      </c>
      <c r="AR45" s="14">
        <v>39</v>
      </c>
      <c r="AS45" s="14">
        <v>39</v>
      </c>
      <c r="AT45" s="14">
        <v>39</v>
      </c>
      <c r="AU45" s="14">
        <v>39</v>
      </c>
      <c r="AV45" s="14">
        <v>40</v>
      </c>
      <c r="AW45" s="14">
        <v>40</v>
      </c>
      <c r="AX45" s="14">
        <v>40</v>
      </c>
      <c r="AY45" s="14">
        <v>40</v>
      </c>
      <c r="AZ45" s="14">
        <v>42</v>
      </c>
      <c r="BA45" s="14">
        <v>42</v>
      </c>
      <c r="BB45" s="14">
        <v>43</v>
      </c>
      <c r="BC45" s="14">
        <v>43</v>
      </c>
      <c r="BD45" s="14">
        <v>43</v>
      </c>
      <c r="BE45" s="14">
        <v>43</v>
      </c>
      <c r="BF45" s="14">
        <v>44</v>
      </c>
      <c r="BG45" s="14">
        <v>44</v>
      </c>
      <c r="BH45" s="14">
        <v>46</v>
      </c>
      <c r="BI45" s="14">
        <v>46</v>
      </c>
      <c r="BJ45" s="14">
        <v>46</v>
      </c>
      <c r="BK45" s="14">
        <v>46</v>
      </c>
      <c r="BL45" s="14">
        <v>47</v>
      </c>
      <c r="BM45" s="14">
        <v>47</v>
      </c>
      <c r="BN45" s="14">
        <v>48</v>
      </c>
      <c r="BO45" s="14">
        <v>48</v>
      </c>
      <c r="BP45" s="14">
        <v>48</v>
      </c>
      <c r="BQ45" s="14">
        <v>48</v>
      </c>
      <c r="BR45" s="14">
        <v>48</v>
      </c>
      <c r="BS45" s="14">
        <v>48</v>
      </c>
      <c r="BT45" s="14">
        <v>49</v>
      </c>
      <c r="BU45" s="14">
        <v>49</v>
      </c>
      <c r="BV45" s="14">
        <v>50</v>
      </c>
      <c r="BW45" s="14">
        <v>50</v>
      </c>
      <c r="BX45" s="14">
        <v>54</v>
      </c>
      <c r="BY45" s="14">
        <v>54</v>
      </c>
      <c r="BZ45" s="14">
        <v>54</v>
      </c>
      <c r="CA45" s="14">
        <v>54</v>
      </c>
      <c r="CB45" s="14">
        <v>54</v>
      </c>
      <c r="CC45" s="14">
        <v>54</v>
      </c>
      <c r="CD45" s="14">
        <v>54</v>
      </c>
      <c r="CE45" s="14">
        <v>54</v>
      </c>
      <c r="CF45" s="14">
        <v>54</v>
      </c>
      <c r="CG45" s="14">
        <v>54</v>
      </c>
      <c r="CH45" s="14">
        <v>54</v>
      </c>
      <c r="CI45" s="14">
        <v>54</v>
      </c>
      <c r="CJ45" s="14">
        <v>57</v>
      </c>
      <c r="CK45" s="14">
        <v>57</v>
      </c>
      <c r="CL45" s="14">
        <v>58</v>
      </c>
      <c r="CM45" s="14">
        <v>58</v>
      </c>
      <c r="CN45" s="14">
        <v>59</v>
      </c>
      <c r="CO45" s="14">
        <v>59</v>
      </c>
      <c r="CP45" s="14">
        <v>60</v>
      </c>
      <c r="CQ45" s="14">
        <v>60</v>
      </c>
      <c r="CR45" s="14">
        <v>60</v>
      </c>
      <c r="CS45" s="14">
        <v>60</v>
      </c>
      <c r="CT45" s="14">
        <v>60</v>
      </c>
      <c r="CU45" s="14">
        <v>60</v>
      </c>
      <c r="CV45" s="14">
        <v>61</v>
      </c>
      <c r="CW45" s="14">
        <v>61</v>
      </c>
      <c r="CX45" s="14">
        <v>62</v>
      </c>
      <c r="CY45" s="14">
        <v>62</v>
      </c>
      <c r="CZ45" s="14">
        <v>62</v>
      </c>
      <c r="DA45" s="14">
        <v>62</v>
      </c>
      <c r="DB45" s="14">
        <v>62</v>
      </c>
      <c r="DC45" s="14">
        <v>62</v>
      </c>
      <c r="DD45" s="14">
        <v>63</v>
      </c>
      <c r="DE45" s="14">
        <v>63</v>
      </c>
      <c r="DF45" s="14">
        <v>63</v>
      </c>
      <c r="DG45" s="14">
        <v>63</v>
      </c>
      <c r="DH45" s="14">
        <v>63</v>
      </c>
      <c r="DI45" s="14">
        <v>63</v>
      </c>
      <c r="DJ45" s="14">
        <v>64</v>
      </c>
      <c r="DK45" s="14">
        <v>64</v>
      </c>
      <c r="DL45" s="14">
        <v>65</v>
      </c>
      <c r="DM45" s="14">
        <v>65</v>
      </c>
      <c r="DN45" s="14">
        <v>65</v>
      </c>
      <c r="DO45" s="14">
        <v>65</v>
      </c>
      <c r="DP45" s="14">
        <v>67</v>
      </c>
      <c r="DQ45" s="14">
        <v>67</v>
      </c>
      <c r="DR45" s="14">
        <v>67</v>
      </c>
      <c r="DS45" s="14">
        <v>67</v>
      </c>
      <c r="DT45" s="14">
        <v>69</v>
      </c>
      <c r="DU45" s="14">
        <v>69</v>
      </c>
      <c r="DV45" s="14">
        <v>70</v>
      </c>
      <c r="DW45" s="14">
        <v>70</v>
      </c>
      <c r="DX45" s="14">
        <v>71</v>
      </c>
      <c r="DY45" s="14">
        <v>71</v>
      </c>
      <c r="DZ45" s="14">
        <v>71</v>
      </c>
      <c r="EA45" s="14">
        <v>71</v>
      </c>
      <c r="EB45" s="14">
        <v>71</v>
      </c>
      <c r="EC45" s="14">
        <v>71</v>
      </c>
      <c r="ED45" s="14">
        <v>72</v>
      </c>
      <c r="EE45" s="14">
        <v>72</v>
      </c>
      <c r="EF45" s="14">
        <v>73</v>
      </c>
      <c r="EG45" s="14">
        <v>73</v>
      </c>
      <c r="EH45" s="14">
        <v>73</v>
      </c>
      <c r="EI45" s="14">
        <v>73</v>
      </c>
      <c r="EJ45" s="14">
        <v>74</v>
      </c>
      <c r="EK45" s="14">
        <v>74</v>
      </c>
      <c r="EL45" s="14">
        <v>75</v>
      </c>
      <c r="EM45" s="14">
        <v>75</v>
      </c>
      <c r="EN45" s="14">
        <v>76</v>
      </c>
      <c r="EO45" s="14">
        <v>76</v>
      </c>
      <c r="EP45" s="14">
        <v>77</v>
      </c>
      <c r="EQ45" s="14">
        <v>77</v>
      </c>
      <c r="ER45" s="14">
        <v>77</v>
      </c>
      <c r="ES45" s="14">
        <v>77</v>
      </c>
      <c r="ET45" s="14">
        <v>78</v>
      </c>
      <c r="EU45" s="14">
        <v>78</v>
      </c>
      <c r="EV45" s="14">
        <v>78</v>
      </c>
      <c r="EW45" s="14">
        <v>78</v>
      </c>
      <c r="EX45" s="14">
        <v>78</v>
      </c>
      <c r="EY45" s="14">
        <v>78</v>
      </c>
      <c r="EZ45" s="14">
        <v>78</v>
      </c>
      <c r="FA45" s="14">
        <v>78</v>
      </c>
      <c r="FB45" s="14">
        <v>78</v>
      </c>
      <c r="FC45" s="14">
        <v>78</v>
      </c>
      <c r="FD45" s="14">
        <v>78</v>
      </c>
      <c r="FE45" s="14">
        <v>78</v>
      </c>
      <c r="FF45" s="14">
        <v>79</v>
      </c>
      <c r="FG45" s="14">
        <v>79</v>
      </c>
      <c r="FH45" s="14">
        <v>81</v>
      </c>
      <c r="FI45" s="14">
        <v>81</v>
      </c>
      <c r="FJ45" s="14">
        <v>85</v>
      </c>
      <c r="FK45" s="14">
        <v>85</v>
      </c>
      <c r="FL45" s="14">
        <v>86</v>
      </c>
      <c r="FM45" s="14">
        <v>86</v>
      </c>
      <c r="FN45" s="14">
        <v>87</v>
      </c>
      <c r="FO45" s="14">
        <v>87</v>
      </c>
      <c r="FP45" s="14">
        <v>87</v>
      </c>
      <c r="FQ45" s="14">
        <v>87</v>
      </c>
      <c r="FR45" s="14">
        <v>87</v>
      </c>
      <c r="FS45" s="14">
        <v>87</v>
      </c>
      <c r="FT45" s="14">
        <v>88</v>
      </c>
      <c r="FU45" s="14">
        <v>88</v>
      </c>
      <c r="FV45" s="14">
        <v>88</v>
      </c>
      <c r="FW45" s="14">
        <v>88</v>
      </c>
      <c r="FX45" s="14">
        <v>93</v>
      </c>
      <c r="FY45" s="14">
        <v>93</v>
      </c>
      <c r="FZ45" s="14">
        <v>97</v>
      </c>
      <c r="GA45" s="14">
        <v>97</v>
      </c>
      <c r="GB45" s="14">
        <v>98</v>
      </c>
      <c r="GC45" s="14">
        <v>98</v>
      </c>
      <c r="GD45" s="14">
        <v>99</v>
      </c>
      <c r="GE45" s="14">
        <v>99</v>
      </c>
      <c r="GF45" s="14">
        <v>101</v>
      </c>
      <c r="GG45" s="14">
        <v>101</v>
      </c>
      <c r="GH45" s="14">
        <v>103</v>
      </c>
      <c r="GI45" s="14">
        <v>103</v>
      </c>
      <c r="GJ45" s="14">
        <v>103</v>
      </c>
      <c r="GK45" s="14">
        <v>103</v>
      </c>
      <c r="GL45" s="14">
        <v>113</v>
      </c>
      <c r="GM45" s="14">
        <v>113</v>
      </c>
      <c r="GN45" s="14">
        <v>120</v>
      </c>
      <c r="GO45" s="14">
        <v>120</v>
      </c>
      <c r="GP45" s="14">
        <v>126</v>
      </c>
      <c r="GQ45" s="14">
        <v>126</v>
      </c>
      <c r="GR45" s="14">
        <v>137</v>
      </c>
      <c r="GS45" s="14">
        <v>137</v>
      </c>
    </row>
    <row r="46" spans="1:201" x14ac:dyDescent="0.3">
      <c r="A46" s="17" t="s">
        <v>4</v>
      </c>
      <c r="B46" s="14">
        <v>39</v>
      </c>
      <c r="C46" s="14">
        <v>81</v>
      </c>
      <c r="D46" s="14">
        <v>6</v>
      </c>
      <c r="E46" s="14">
        <v>77</v>
      </c>
      <c r="F46" s="14">
        <v>40</v>
      </c>
      <c r="G46" s="14">
        <v>76</v>
      </c>
      <c r="H46" s="14">
        <v>6</v>
      </c>
      <c r="I46" s="14">
        <v>94</v>
      </c>
      <c r="J46" s="14">
        <v>3</v>
      </c>
      <c r="K46" s="14">
        <v>72</v>
      </c>
      <c r="L46" s="14">
        <v>14</v>
      </c>
      <c r="M46" s="14">
        <v>99</v>
      </c>
      <c r="N46" s="14">
        <v>15</v>
      </c>
      <c r="O46" s="14">
        <v>77</v>
      </c>
      <c r="P46" s="14">
        <v>13</v>
      </c>
      <c r="Q46" s="14">
        <v>79</v>
      </c>
      <c r="R46" s="14">
        <v>35</v>
      </c>
      <c r="S46" s="14">
        <v>66</v>
      </c>
      <c r="T46" s="14">
        <v>29</v>
      </c>
      <c r="U46" s="14">
        <v>98</v>
      </c>
      <c r="V46" s="14">
        <v>300</v>
      </c>
      <c r="W46" s="14">
        <v>73</v>
      </c>
      <c r="X46" s="14">
        <v>5</v>
      </c>
      <c r="Y46" s="14">
        <v>73</v>
      </c>
      <c r="Z46" s="14">
        <v>14</v>
      </c>
      <c r="AA46" s="14">
        <v>82</v>
      </c>
      <c r="AB46" s="14">
        <v>32</v>
      </c>
      <c r="AC46" s="14">
        <v>61</v>
      </c>
      <c r="AD46" s="14">
        <v>31</v>
      </c>
      <c r="AE46" s="14">
        <v>87</v>
      </c>
      <c r="AF46" s="14">
        <v>4</v>
      </c>
      <c r="AG46" s="14">
        <v>73</v>
      </c>
      <c r="AH46" s="14">
        <v>4</v>
      </c>
      <c r="AI46" s="14">
        <v>92</v>
      </c>
      <c r="AJ46" s="14">
        <v>14</v>
      </c>
      <c r="AK46" s="14">
        <v>81</v>
      </c>
      <c r="AL46" s="14">
        <v>17</v>
      </c>
      <c r="AM46" s="14">
        <v>73</v>
      </c>
      <c r="AN46" s="14">
        <v>26</v>
      </c>
      <c r="AO46" s="14">
        <v>75</v>
      </c>
      <c r="AP46" s="14">
        <v>35</v>
      </c>
      <c r="AQ46" s="14">
        <v>92</v>
      </c>
      <c r="AR46" s="14">
        <v>36</v>
      </c>
      <c r="AS46" s="14">
        <v>61</v>
      </c>
      <c r="AT46" s="14">
        <v>28</v>
      </c>
      <c r="AU46" s="14">
        <v>65</v>
      </c>
      <c r="AV46" s="14">
        <v>55</v>
      </c>
      <c r="AW46" s="14">
        <v>47</v>
      </c>
      <c r="AX46" s="14">
        <v>42</v>
      </c>
      <c r="AY46" s="14">
        <v>42</v>
      </c>
      <c r="AZ46" s="14">
        <v>52</v>
      </c>
      <c r="BA46" s="14">
        <v>60</v>
      </c>
      <c r="BB46" s="14">
        <v>54</v>
      </c>
      <c r="BC46" s="14">
        <v>60</v>
      </c>
      <c r="BD46" s="14">
        <v>45</v>
      </c>
      <c r="BE46" s="14">
        <v>41</v>
      </c>
      <c r="BF46" s="14">
        <v>50</v>
      </c>
      <c r="BG46" s="14">
        <v>46</v>
      </c>
      <c r="BH46" s="14">
        <v>51</v>
      </c>
      <c r="BI46" s="14">
        <v>46</v>
      </c>
      <c r="BJ46" s="14">
        <v>56</v>
      </c>
      <c r="BK46" s="14">
        <v>55</v>
      </c>
      <c r="BL46" s="14">
        <v>52</v>
      </c>
      <c r="BM46" s="14">
        <v>59</v>
      </c>
      <c r="BN46" s="14">
        <v>51</v>
      </c>
      <c r="BO46" s="14">
        <v>59</v>
      </c>
      <c r="BP46" s="14">
        <v>50</v>
      </c>
      <c r="BQ46" s="14">
        <v>48</v>
      </c>
      <c r="BR46" s="14">
        <v>59</v>
      </c>
      <c r="BS46" s="14">
        <v>47</v>
      </c>
      <c r="BT46" s="14">
        <v>55</v>
      </c>
      <c r="BU46" s="14">
        <v>42</v>
      </c>
      <c r="BV46" s="14">
        <v>49</v>
      </c>
      <c r="BW46" s="14">
        <v>56</v>
      </c>
      <c r="BX46" s="14">
        <v>47</v>
      </c>
      <c r="BY46" s="14">
        <v>54</v>
      </c>
      <c r="BZ46" s="14">
        <v>53</v>
      </c>
      <c r="CA46" s="14">
        <v>48</v>
      </c>
      <c r="CB46" s="14">
        <v>52</v>
      </c>
      <c r="CC46" s="14">
        <v>42</v>
      </c>
      <c r="CD46" s="14">
        <v>51</v>
      </c>
      <c r="CE46" s="14">
        <v>55</v>
      </c>
      <c r="CF46" s="14">
        <v>41</v>
      </c>
      <c r="CG46" s="14">
        <v>44</v>
      </c>
      <c r="CH46" s="14">
        <v>57</v>
      </c>
      <c r="CI46" s="14">
        <v>46</v>
      </c>
      <c r="CJ46" s="14">
        <v>58</v>
      </c>
      <c r="CK46" s="14">
        <v>55</v>
      </c>
      <c r="CL46" s="14">
        <v>60</v>
      </c>
      <c r="CM46" s="14">
        <v>46</v>
      </c>
      <c r="CN46" s="14">
        <v>55</v>
      </c>
      <c r="CO46" s="14">
        <v>41</v>
      </c>
      <c r="CP46" s="14">
        <v>49</v>
      </c>
      <c r="CQ46" s="14">
        <v>40</v>
      </c>
      <c r="CR46" s="14">
        <v>42</v>
      </c>
      <c r="CS46" s="14">
        <v>52</v>
      </c>
      <c r="CT46" s="14">
        <v>47</v>
      </c>
      <c r="CU46" s="14">
        <v>50</v>
      </c>
      <c r="CV46" s="14">
        <v>42</v>
      </c>
      <c r="CW46" s="14">
        <v>49</v>
      </c>
      <c r="CX46" s="14">
        <v>41</v>
      </c>
      <c r="CY46" s="14">
        <v>48</v>
      </c>
      <c r="CZ46" s="14">
        <v>59</v>
      </c>
      <c r="DA46" s="14">
        <v>55</v>
      </c>
      <c r="DB46" s="14">
        <v>56</v>
      </c>
      <c r="DC46" s="14">
        <v>42</v>
      </c>
      <c r="DD46" s="14">
        <v>50</v>
      </c>
      <c r="DE46" s="14">
        <v>46</v>
      </c>
      <c r="DF46" s="14">
        <v>43</v>
      </c>
      <c r="DG46" s="14">
        <v>48</v>
      </c>
      <c r="DH46" s="14">
        <v>52</v>
      </c>
      <c r="DI46" s="14">
        <v>54</v>
      </c>
      <c r="DJ46" s="14">
        <v>42</v>
      </c>
      <c r="DK46" s="14">
        <v>46</v>
      </c>
      <c r="DL46" s="14">
        <v>48</v>
      </c>
      <c r="DM46" s="14">
        <v>50</v>
      </c>
      <c r="DN46" s="14">
        <v>43</v>
      </c>
      <c r="DO46" s="14">
        <v>59</v>
      </c>
      <c r="DP46" s="14">
        <v>43</v>
      </c>
      <c r="DQ46" s="14">
        <v>57</v>
      </c>
      <c r="DR46" s="14">
        <v>56</v>
      </c>
      <c r="DS46" s="14">
        <v>40</v>
      </c>
      <c r="DT46" s="14">
        <v>58</v>
      </c>
      <c r="DU46" s="14">
        <v>91</v>
      </c>
      <c r="DV46" s="14">
        <v>29</v>
      </c>
      <c r="DW46" s="14">
        <v>77</v>
      </c>
      <c r="DX46" s="14">
        <v>35</v>
      </c>
      <c r="DY46" s="14">
        <v>95</v>
      </c>
      <c r="DZ46" s="14">
        <v>11</v>
      </c>
      <c r="EA46" s="14">
        <v>75</v>
      </c>
      <c r="EB46" s="14">
        <v>9</v>
      </c>
      <c r="EC46" s="14">
        <v>75</v>
      </c>
      <c r="ED46" s="14">
        <v>34</v>
      </c>
      <c r="EE46" s="14">
        <v>71</v>
      </c>
      <c r="EF46" s="14">
        <v>5</v>
      </c>
      <c r="EG46" s="14">
        <v>88</v>
      </c>
      <c r="EH46" s="14">
        <v>7</v>
      </c>
      <c r="EI46" s="14">
        <v>73</v>
      </c>
      <c r="EJ46" s="14">
        <v>10</v>
      </c>
      <c r="EK46" s="14">
        <v>72</v>
      </c>
      <c r="EL46" s="14">
        <v>5</v>
      </c>
      <c r="EM46" s="14">
        <v>93</v>
      </c>
      <c r="EN46" s="14">
        <v>40</v>
      </c>
      <c r="EO46" s="14">
        <v>87</v>
      </c>
      <c r="EP46" s="14">
        <v>12</v>
      </c>
      <c r="EQ46" s="14">
        <v>97</v>
      </c>
      <c r="ER46" s="14">
        <v>36</v>
      </c>
      <c r="ES46" s="14">
        <v>74</v>
      </c>
      <c r="ET46" s="14">
        <v>22</v>
      </c>
      <c r="EU46" s="14">
        <v>90</v>
      </c>
      <c r="EV46" s="14">
        <v>17</v>
      </c>
      <c r="EW46" s="14">
        <v>88</v>
      </c>
      <c r="EX46" s="14">
        <v>20</v>
      </c>
      <c r="EY46" s="14">
        <v>76</v>
      </c>
      <c r="EZ46" s="14">
        <v>16</v>
      </c>
      <c r="FA46" s="14">
        <v>89</v>
      </c>
      <c r="FB46" s="14">
        <v>1</v>
      </c>
      <c r="FC46" s="14">
        <v>78</v>
      </c>
      <c r="FD46" s="14">
        <v>1</v>
      </c>
      <c r="FE46" s="14">
        <v>73</v>
      </c>
      <c r="FF46" s="14">
        <v>35</v>
      </c>
      <c r="FG46" s="14">
        <v>83</v>
      </c>
      <c r="FH46" s="14">
        <v>5</v>
      </c>
      <c r="FI46" s="14">
        <v>93</v>
      </c>
      <c r="FJ46" s="14">
        <v>26</v>
      </c>
      <c r="FK46" s="14">
        <v>75</v>
      </c>
      <c r="FL46" s="14">
        <v>20</v>
      </c>
      <c r="FM46" s="14">
        <v>95</v>
      </c>
      <c r="FN46" s="14">
        <v>27</v>
      </c>
      <c r="FO46" s="14">
        <v>63</v>
      </c>
      <c r="FP46" s="14">
        <v>13</v>
      </c>
      <c r="FQ46" s="14">
        <v>75</v>
      </c>
      <c r="FR46" s="14">
        <v>10</v>
      </c>
      <c r="FS46" s="14">
        <v>92</v>
      </c>
      <c r="FT46" s="14">
        <v>13</v>
      </c>
      <c r="FU46" s="14">
        <v>86</v>
      </c>
      <c r="FV46" s="14">
        <v>15</v>
      </c>
      <c r="FW46" s="14">
        <v>69</v>
      </c>
      <c r="FX46" s="14">
        <v>14</v>
      </c>
      <c r="FY46" s="14">
        <v>90</v>
      </c>
      <c r="FZ46" s="14">
        <v>32</v>
      </c>
      <c r="GA46" s="14">
        <v>86</v>
      </c>
      <c r="GB46" s="14">
        <v>15</v>
      </c>
      <c r="GC46" s="14">
        <v>88</v>
      </c>
      <c r="GD46" s="14">
        <v>39</v>
      </c>
      <c r="GE46" s="14">
        <v>97</v>
      </c>
      <c r="GF46" s="14">
        <v>24</v>
      </c>
      <c r="GG46" s="14">
        <v>68</v>
      </c>
      <c r="GH46" s="14">
        <v>17</v>
      </c>
      <c r="GI46" s="14">
        <v>85</v>
      </c>
      <c r="GJ46" s="14">
        <v>23</v>
      </c>
      <c r="GK46" s="14">
        <v>69</v>
      </c>
      <c r="GL46" s="14">
        <v>8</v>
      </c>
      <c r="GM46" s="14">
        <v>91</v>
      </c>
      <c r="GN46" s="14">
        <v>16</v>
      </c>
      <c r="GO46" s="14">
        <v>79</v>
      </c>
      <c r="GP46" s="14">
        <v>28</v>
      </c>
      <c r="GQ46" s="14">
        <v>74</v>
      </c>
      <c r="GR46" s="14">
        <v>18</v>
      </c>
      <c r="GS46" s="14">
        <v>83</v>
      </c>
    </row>
    <row r="49" spans="1:2" x14ac:dyDescent="0.3">
      <c r="A49" s="12" t="s">
        <v>180</v>
      </c>
      <c r="B49" t="str">
        <f>HLOOKUP(30,A42:GS46,2,0)</f>
        <v>Female</v>
      </c>
    </row>
  </sheetData>
  <dataValidations count="1">
    <dataValidation type="list" allowBlank="1" showInputMessage="1" showErrorMessage="1" sqref="B15" xr:uid="{5F3DADC1-5A56-4229-A006-68CA504CE97E}">
      <formula1>$A$1:$GS$1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F1F7-9A0A-4CBC-A536-807F1A64C7CC}">
  <dimension ref="A1:X94"/>
  <sheetViews>
    <sheetView topLeftCell="A5" zoomScale="68" workbookViewId="0">
      <selection activeCell="I30" sqref="I30:K34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8.88671875" customWidth="1"/>
    <col min="4" max="4" width="13.44140625" bestFit="1" customWidth="1"/>
    <col min="5" max="5" width="12.109375" bestFit="1" customWidth="1"/>
    <col min="6" max="6" width="11.33203125" bestFit="1" customWidth="1"/>
    <col min="7" max="7" width="16" bestFit="1" customWidth="1"/>
    <col min="8" max="8" width="9.21875" bestFit="1" customWidth="1"/>
    <col min="9" max="9" width="11.88671875" bestFit="1" customWidth="1"/>
    <col min="10" max="10" width="13.88671875" bestFit="1" customWidth="1"/>
    <col min="11" max="11" width="13.109375" bestFit="1" customWidth="1"/>
    <col min="12" max="12" width="10.88671875" bestFit="1" customWidth="1"/>
    <col min="13" max="13" width="6.88671875" bestFit="1" customWidth="1"/>
    <col min="14" max="14" width="16.21875" bestFit="1" customWidth="1"/>
    <col min="15" max="15" width="13.109375" bestFit="1" customWidth="1"/>
    <col min="16" max="16" width="17.5546875" customWidth="1"/>
    <col min="17" max="17" width="31.88671875" customWidth="1"/>
    <col min="18" max="18" width="12.109375" bestFit="1" customWidth="1"/>
    <col min="19" max="19" width="8.33203125" bestFit="1" customWidth="1"/>
    <col min="20" max="20" width="34.21875" customWidth="1"/>
    <col min="21" max="21" width="8.33203125" bestFit="1" customWidth="1"/>
    <col min="22" max="22" width="9" bestFit="1" customWidth="1"/>
    <col min="23" max="23" width="20.21875" customWidth="1"/>
  </cols>
  <sheetData>
    <row r="1" spans="1:24" x14ac:dyDescent="0.3">
      <c r="A1" s="1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161</v>
      </c>
      <c r="U1" s="2" t="s">
        <v>37</v>
      </c>
      <c r="V1" s="3" t="s">
        <v>38</v>
      </c>
      <c r="W1" s="15" t="s">
        <v>162</v>
      </c>
      <c r="X1" s="15" t="s">
        <v>166</v>
      </c>
    </row>
    <row r="2" spans="1:24" x14ac:dyDescent="0.3">
      <c r="A2" s="4">
        <v>1</v>
      </c>
      <c r="B2" s="5" t="s">
        <v>39</v>
      </c>
      <c r="C2" s="6">
        <v>42682</v>
      </c>
      <c r="D2" s="6">
        <v>42685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>
        <v>42420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51</v>
      </c>
      <c r="R2" s="5">
        <v>261.95999999999998</v>
      </c>
      <c r="S2" s="5">
        <v>2</v>
      </c>
      <c r="T2" s="5" t="str">
        <f>_xlfn.CONCAT(B2,N2)</f>
        <v>CA-2016-152156FUR-BO-10001798</v>
      </c>
      <c r="U2" s="5">
        <v>0</v>
      </c>
      <c r="V2" s="7">
        <v>41.913600000000002</v>
      </c>
      <c r="W2" t="str">
        <f>IF(S2&gt;5,V2,"no profit")</f>
        <v>no profit</v>
      </c>
      <c r="X2" t="str">
        <f>TEXT(C2,"mmm")</f>
        <v>Nov</v>
      </c>
    </row>
    <row r="3" spans="1:24" x14ac:dyDescent="0.3">
      <c r="A3" s="8">
        <v>2</v>
      </c>
      <c r="B3" s="9" t="s">
        <v>39</v>
      </c>
      <c r="C3" s="10">
        <v>42682</v>
      </c>
      <c r="D3" s="10">
        <v>42685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>
        <v>42420</v>
      </c>
      <c r="M3" s="9" t="s">
        <v>47</v>
      </c>
      <c r="N3" s="9" t="s">
        <v>52</v>
      </c>
      <c r="O3" s="9" t="s">
        <v>49</v>
      </c>
      <c r="P3" s="9" t="s">
        <v>53</v>
      </c>
      <c r="Q3" s="9" t="s">
        <v>54</v>
      </c>
      <c r="R3" s="9">
        <v>731.93999999999994</v>
      </c>
      <c r="S3" s="9">
        <v>3</v>
      </c>
      <c r="T3" s="5" t="str">
        <f t="shared" ref="T3:T22" si="0">_xlfn.CONCAT(B3,N3)</f>
        <v>CA-2016-152156FUR-CH-10000454</v>
      </c>
      <c r="U3" s="9">
        <v>0</v>
      </c>
      <c r="V3" s="11">
        <v>219.58199999999997</v>
      </c>
      <c r="W3" t="str">
        <f t="shared" ref="W3:W21" si="1">IF(S3&gt;5,V3,"no profit")</f>
        <v>no profit</v>
      </c>
      <c r="X3" t="str">
        <f t="shared" ref="X3:X21" si="2">TEXT(C3,"mmm")</f>
        <v>Nov</v>
      </c>
    </row>
    <row r="4" spans="1:24" x14ac:dyDescent="0.3">
      <c r="A4" s="4">
        <v>25</v>
      </c>
      <c r="B4" s="5" t="s">
        <v>55</v>
      </c>
      <c r="C4" s="6">
        <v>42272</v>
      </c>
      <c r="D4" s="6">
        <v>42277</v>
      </c>
      <c r="E4" s="5" t="s">
        <v>56</v>
      </c>
      <c r="F4" s="5" t="s">
        <v>57</v>
      </c>
      <c r="G4" s="5" t="s">
        <v>58</v>
      </c>
      <c r="H4" s="5" t="s">
        <v>43</v>
      </c>
      <c r="I4" s="5" t="s">
        <v>44</v>
      </c>
      <c r="J4" s="5" t="s">
        <v>59</v>
      </c>
      <c r="K4" s="5" t="s">
        <v>60</v>
      </c>
      <c r="L4" s="5">
        <v>84057</v>
      </c>
      <c r="M4" s="5" t="s">
        <v>61</v>
      </c>
      <c r="N4" s="5" t="s">
        <v>62</v>
      </c>
      <c r="O4" s="5" t="s">
        <v>49</v>
      </c>
      <c r="P4" s="5" t="s">
        <v>63</v>
      </c>
      <c r="Q4" s="5" t="s">
        <v>64</v>
      </c>
      <c r="R4" s="5">
        <v>1044.6299999999999</v>
      </c>
      <c r="S4" s="5">
        <v>3</v>
      </c>
      <c r="T4" s="5" t="str">
        <f t="shared" si="0"/>
        <v>CA-2015-106320FUR-TA-10000577</v>
      </c>
      <c r="U4" s="5">
        <v>0</v>
      </c>
      <c r="V4" s="7">
        <v>240.26490000000001</v>
      </c>
      <c r="W4" t="str">
        <f t="shared" si="1"/>
        <v>no profit</v>
      </c>
      <c r="X4" t="str">
        <f t="shared" si="2"/>
        <v>Sep</v>
      </c>
    </row>
    <row r="5" spans="1:24" x14ac:dyDescent="0.3">
      <c r="A5" s="8">
        <v>4</v>
      </c>
      <c r="B5" s="9" t="s">
        <v>65</v>
      </c>
      <c r="C5" s="10">
        <v>42288</v>
      </c>
      <c r="D5" s="10">
        <v>42295</v>
      </c>
      <c r="E5" s="9" t="s">
        <v>56</v>
      </c>
      <c r="F5" s="9" t="s">
        <v>66</v>
      </c>
      <c r="G5" s="9" t="s">
        <v>67</v>
      </c>
      <c r="H5" s="9" t="s">
        <v>43</v>
      </c>
      <c r="I5" s="9" t="s">
        <v>44</v>
      </c>
      <c r="J5" s="9" t="s">
        <v>68</v>
      </c>
      <c r="K5" s="9" t="s">
        <v>69</v>
      </c>
      <c r="L5" s="9">
        <v>33311</v>
      </c>
      <c r="M5" s="9" t="s">
        <v>47</v>
      </c>
      <c r="N5" s="9" t="s">
        <v>62</v>
      </c>
      <c r="O5" s="9" t="s">
        <v>49</v>
      </c>
      <c r="P5" s="9" t="s">
        <v>63</v>
      </c>
      <c r="Q5" s="9" t="s">
        <v>64</v>
      </c>
      <c r="R5" s="9">
        <v>957.57749999999999</v>
      </c>
      <c r="S5" s="9">
        <v>5</v>
      </c>
      <c r="T5" s="5" t="str">
        <f t="shared" si="0"/>
        <v>US-2015-108966FUR-TA-10000577</v>
      </c>
      <c r="U5" s="9">
        <v>0.45</v>
      </c>
      <c r="V5" s="11">
        <v>-383.03100000000006</v>
      </c>
      <c r="W5" t="str">
        <f t="shared" si="1"/>
        <v>no profit</v>
      </c>
      <c r="X5" t="str">
        <f t="shared" si="2"/>
        <v>Oct</v>
      </c>
    </row>
    <row r="6" spans="1:24" x14ac:dyDescent="0.3">
      <c r="A6" s="4">
        <v>5</v>
      </c>
      <c r="B6" s="5" t="s">
        <v>65</v>
      </c>
      <c r="C6" s="6">
        <v>42288</v>
      </c>
      <c r="D6" s="6">
        <v>42295</v>
      </c>
      <c r="E6" s="5" t="s">
        <v>56</v>
      </c>
      <c r="F6" s="5" t="s">
        <v>66</v>
      </c>
      <c r="G6" s="5" t="s">
        <v>67</v>
      </c>
      <c r="H6" s="5" t="s">
        <v>43</v>
      </c>
      <c r="I6" s="5" t="s">
        <v>44</v>
      </c>
      <c r="J6" s="5" t="s">
        <v>68</v>
      </c>
      <c r="K6" s="5" t="s">
        <v>69</v>
      </c>
      <c r="L6" s="5">
        <v>33311</v>
      </c>
      <c r="M6" s="5" t="s">
        <v>47</v>
      </c>
      <c r="N6" s="5" t="s">
        <v>70</v>
      </c>
      <c r="O6" s="5" t="s">
        <v>71</v>
      </c>
      <c r="P6" s="5" t="s">
        <v>72</v>
      </c>
      <c r="Q6" s="5" t="s">
        <v>73</v>
      </c>
      <c r="R6" s="5">
        <v>22.368000000000002</v>
      </c>
      <c r="S6" s="5">
        <v>2</v>
      </c>
      <c r="T6" s="5" t="str">
        <f t="shared" si="0"/>
        <v>US-2015-108966OFF-ST-10000760</v>
      </c>
      <c r="U6" s="5">
        <v>0.2</v>
      </c>
      <c r="V6" s="7">
        <v>2.5163999999999991</v>
      </c>
      <c r="W6" t="str">
        <f t="shared" si="1"/>
        <v>no profit</v>
      </c>
      <c r="X6" t="str">
        <f t="shared" si="2"/>
        <v>Oct</v>
      </c>
    </row>
    <row r="7" spans="1:24" x14ac:dyDescent="0.3">
      <c r="A7" s="8">
        <v>6</v>
      </c>
      <c r="B7" s="9" t="s">
        <v>74</v>
      </c>
      <c r="C7" s="10">
        <v>41799</v>
      </c>
      <c r="D7" s="10">
        <v>41804</v>
      </c>
      <c r="E7" s="9" t="s">
        <v>56</v>
      </c>
      <c r="F7" s="9" t="s">
        <v>75</v>
      </c>
      <c r="G7" s="9" t="s">
        <v>76</v>
      </c>
      <c r="H7" s="9" t="s">
        <v>43</v>
      </c>
      <c r="I7" s="9" t="s">
        <v>44</v>
      </c>
      <c r="J7" s="9" t="s">
        <v>77</v>
      </c>
      <c r="K7" s="9" t="s">
        <v>78</v>
      </c>
      <c r="L7" s="9">
        <v>90032</v>
      </c>
      <c r="M7" s="9" t="s">
        <v>61</v>
      </c>
      <c r="N7" s="9" t="s">
        <v>79</v>
      </c>
      <c r="O7" s="9" t="s">
        <v>49</v>
      </c>
      <c r="P7" s="9" t="s">
        <v>80</v>
      </c>
      <c r="Q7" s="9" t="s">
        <v>81</v>
      </c>
      <c r="R7" s="9">
        <v>48.86</v>
      </c>
      <c r="S7" s="9">
        <v>7</v>
      </c>
      <c r="T7" s="5" t="str">
        <f t="shared" si="0"/>
        <v>CA-2014-115812FUR-FU-10001487</v>
      </c>
      <c r="U7" s="9">
        <v>0</v>
      </c>
      <c r="V7" s="11">
        <v>14.169399999999996</v>
      </c>
      <c r="W7">
        <f t="shared" si="1"/>
        <v>14.169399999999996</v>
      </c>
      <c r="X7" t="str">
        <f t="shared" si="2"/>
        <v>Jun</v>
      </c>
    </row>
    <row r="8" spans="1:24" x14ac:dyDescent="0.3">
      <c r="A8" s="4">
        <v>7</v>
      </c>
      <c r="B8" s="5" t="s">
        <v>74</v>
      </c>
      <c r="C8" s="6">
        <v>41799</v>
      </c>
      <c r="D8" s="6">
        <v>41804</v>
      </c>
      <c r="E8" s="5" t="s">
        <v>56</v>
      </c>
      <c r="F8" s="5" t="s">
        <v>75</v>
      </c>
      <c r="G8" s="5" t="s">
        <v>76</v>
      </c>
      <c r="H8" s="5" t="s">
        <v>43</v>
      </c>
      <c r="I8" s="5" t="s">
        <v>44</v>
      </c>
      <c r="J8" s="5" t="s">
        <v>77</v>
      </c>
      <c r="K8" s="5" t="s">
        <v>78</v>
      </c>
      <c r="L8" s="5">
        <v>90032</v>
      </c>
      <c r="M8" s="5" t="s">
        <v>61</v>
      </c>
      <c r="N8" s="5" t="s">
        <v>82</v>
      </c>
      <c r="O8" s="5" t="s">
        <v>71</v>
      </c>
      <c r="P8" s="5" t="s">
        <v>83</v>
      </c>
      <c r="Q8" s="5" t="s">
        <v>84</v>
      </c>
      <c r="R8" s="5">
        <v>7.28</v>
      </c>
      <c r="S8" s="5">
        <v>4</v>
      </c>
      <c r="T8" s="5" t="str">
        <f t="shared" si="0"/>
        <v>CA-2014-115812OFF-AR-10002833</v>
      </c>
      <c r="U8" s="5">
        <v>0</v>
      </c>
      <c r="V8" s="7">
        <v>1.9656000000000002</v>
      </c>
      <c r="W8" t="str">
        <f t="shared" si="1"/>
        <v>no profit</v>
      </c>
      <c r="X8" t="str">
        <f t="shared" si="2"/>
        <v>Jun</v>
      </c>
    </row>
    <row r="9" spans="1:24" x14ac:dyDescent="0.3">
      <c r="A9" s="8">
        <v>8</v>
      </c>
      <c r="B9" s="9" t="s">
        <v>74</v>
      </c>
      <c r="C9" s="10">
        <v>41799</v>
      </c>
      <c r="D9" s="10">
        <v>41804</v>
      </c>
      <c r="E9" s="9" t="s">
        <v>56</v>
      </c>
      <c r="F9" s="9" t="s">
        <v>75</v>
      </c>
      <c r="G9" s="9" t="s">
        <v>76</v>
      </c>
      <c r="H9" s="9" t="s">
        <v>43</v>
      </c>
      <c r="I9" s="9" t="s">
        <v>44</v>
      </c>
      <c r="J9" s="9" t="s">
        <v>77</v>
      </c>
      <c r="K9" s="9" t="s">
        <v>78</v>
      </c>
      <c r="L9" s="9">
        <v>90032</v>
      </c>
      <c r="M9" s="9" t="s">
        <v>61</v>
      </c>
      <c r="N9" s="9" t="s">
        <v>85</v>
      </c>
      <c r="O9" s="9" t="s">
        <v>86</v>
      </c>
      <c r="P9" s="9" t="s">
        <v>87</v>
      </c>
      <c r="Q9" s="9" t="s">
        <v>88</v>
      </c>
      <c r="R9" s="9">
        <v>907.15200000000004</v>
      </c>
      <c r="S9" s="9">
        <v>6</v>
      </c>
      <c r="T9" s="5" t="str">
        <f t="shared" si="0"/>
        <v>CA-2014-115812TEC-PH-10002275</v>
      </c>
      <c r="U9" s="9">
        <v>0.2</v>
      </c>
      <c r="V9" s="11">
        <v>90.715200000000038</v>
      </c>
      <c r="W9">
        <f t="shared" si="1"/>
        <v>90.715200000000038</v>
      </c>
      <c r="X9" t="str">
        <f t="shared" si="2"/>
        <v>Jun</v>
      </c>
    </row>
    <row r="10" spans="1:24" x14ac:dyDescent="0.3">
      <c r="A10" s="4">
        <v>9</v>
      </c>
      <c r="B10" s="5" t="s">
        <v>74</v>
      </c>
      <c r="C10" s="6">
        <v>41799</v>
      </c>
      <c r="D10" s="6">
        <v>41804</v>
      </c>
      <c r="E10" s="5" t="s">
        <v>56</v>
      </c>
      <c r="F10" s="5" t="s">
        <v>75</v>
      </c>
      <c r="G10" s="5" t="s">
        <v>76</v>
      </c>
      <c r="H10" s="5" t="s">
        <v>43</v>
      </c>
      <c r="I10" s="5" t="s">
        <v>44</v>
      </c>
      <c r="J10" s="5" t="s">
        <v>77</v>
      </c>
      <c r="K10" s="5" t="s">
        <v>78</v>
      </c>
      <c r="L10" s="5">
        <v>90032</v>
      </c>
      <c r="M10" s="5" t="s">
        <v>61</v>
      </c>
      <c r="N10" s="5" t="s">
        <v>89</v>
      </c>
      <c r="O10" s="5" t="s">
        <v>71</v>
      </c>
      <c r="P10" s="5" t="s">
        <v>90</v>
      </c>
      <c r="Q10" s="5" t="s">
        <v>91</v>
      </c>
      <c r="R10" s="5">
        <v>18.504000000000001</v>
      </c>
      <c r="S10" s="5">
        <v>3</v>
      </c>
      <c r="T10" s="5" t="str">
        <f t="shared" si="0"/>
        <v>CA-2014-115812OFF-BI-10003910</v>
      </c>
      <c r="U10" s="5">
        <v>0.2</v>
      </c>
      <c r="V10" s="7">
        <v>5.7824999999999998</v>
      </c>
      <c r="W10" t="str">
        <f t="shared" si="1"/>
        <v>no profit</v>
      </c>
      <c r="X10" t="str">
        <f t="shared" si="2"/>
        <v>Jun</v>
      </c>
    </row>
    <row r="11" spans="1:24" x14ac:dyDescent="0.3">
      <c r="A11" s="8">
        <v>10</v>
      </c>
      <c r="B11" s="9" t="s">
        <v>74</v>
      </c>
      <c r="C11" s="10">
        <v>41799</v>
      </c>
      <c r="D11" s="10">
        <v>41804</v>
      </c>
      <c r="E11" s="9" t="s">
        <v>56</v>
      </c>
      <c r="F11" s="9" t="s">
        <v>75</v>
      </c>
      <c r="G11" s="9" t="s">
        <v>76</v>
      </c>
      <c r="H11" s="9" t="s">
        <v>43</v>
      </c>
      <c r="I11" s="9" t="s">
        <v>44</v>
      </c>
      <c r="J11" s="9" t="s">
        <v>77</v>
      </c>
      <c r="K11" s="9" t="s">
        <v>78</v>
      </c>
      <c r="L11" s="9">
        <v>90032</v>
      </c>
      <c r="M11" s="9" t="s">
        <v>61</v>
      </c>
      <c r="N11" s="9" t="s">
        <v>92</v>
      </c>
      <c r="O11" s="9" t="s">
        <v>71</v>
      </c>
      <c r="P11" s="9" t="s">
        <v>93</v>
      </c>
      <c r="Q11" s="9" t="s">
        <v>94</v>
      </c>
      <c r="R11" s="9">
        <v>114.9</v>
      </c>
      <c r="S11" s="9">
        <v>5</v>
      </c>
      <c r="T11" s="5" t="str">
        <f t="shared" si="0"/>
        <v>CA-2014-115812OFF-AP-10002892</v>
      </c>
      <c r="U11" s="9">
        <v>0</v>
      </c>
      <c r="V11" s="11">
        <v>34.469999999999992</v>
      </c>
      <c r="W11" t="str">
        <f t="shared" si="1"/>
        <v>no profit</v>
      </c>
      <c r="X11" t="str">
        <f t="shared" si="2"/>
        <v>Jun</v>
      </c>
    </row>
    <row r="12" spans="1:24" x14ac:dyDescent="0.3">
      <c r="A12" s="4">
        <v>11</v>
      </c>
      <c r="B12" s="5" t="s">
        <v>74</v>
      </c>
      <c r="C12" s="6">
        <v>41799</v>
      </c>
      <c r="D12" s="6">
        <v>41804</v>
      </c>
      <c r="E12" s="5" t="s">
        <v>56</v>
      </c>
      <c r="F12" s="5" t="s">
        <v>75</v>
      </c>
      <c r="G12" s="5" t="s">
        <v>76</v>
      </c>
      <c r="H12" s="5" t="s">
        <v>43</v>
      </c>
      <c r="I12" s="5" t="s">
        <v>44</v>
      </c>
      <c r="J12" s="5" t="s">
        <v>77</v>
      </c>
      <c r="K12" s="5" t="s">
        <v>78</v>
      </c>
      <c r="L12" s="5">
        <v>90032</v>
      </c>
      <c r="M12" s="5" t="s">
        <v>61</v>
      </c>
      <c r="N12" s="5" t="s">
        <v>95</v>
      </c>
      <c r="O12" s="5" t="s">
        <v>49</v>
      </c>
      <c r="P12" s="5" t="s">
        <v>63</v>
      </c>
      <c r="Q12" s="5" t="s">
        <v>96</v>
      </c>
      <c r="R12" s="5">
        <v>1706.1840000000002</v>
      </c>
      <c r="S12" s="5">
        <v>9</v>
      </c>
      <c r="T12" s="5" t="str">
        <f t="shared" si="0"/>
        <v>CA-2014-115812FUR-TA-10001539</v>
      </c>
      <c r="U12" s="5">
        <v>0.2</v>
      </c>
      <c r="V12" s="7">
        <v>85.309199999999805</v>
      </c>
      <c r="W12">
        <f t="shared" si="1"/>
        <v>85.309199999999805</v>
      </c>
      <c r="X12" t="str">
        <f t="shared" si="2"/>
        <v>Jun</v>
      </c>
    </row>
    <row r="13" spans="1:24" x14ac:dyDescent="0.3">
      <c r="A13" s="8">
        <v>12</v>
      </c>
      <c r="B13" s="9" t="s">
        <v>74</v>
      </c>
      <c r="C13" s="10">
        <v>41799</v>
      </c>
      <c r="D13" s="10">
        <v>41804</v>
      </c>
      <c r="E13" s="9" t="s">
        <v>56</v>
      </c>
      <c r="F13" s="9" t="s">
        <v>75</v>
      </c>
      <c r="G13" s="9" t="s">
        <v>76</v>
      </c>
      <c r="H13" s="9" t="s">
        <v>43</v>
      </c>
      <c r="I13" s="9" t="s">
        <v>44</v>
      </c>
      <c r="J13" s="9" t="s">
        <v>77</v>
      </c>
      <c r="K13" s="9" t="s">
        <v>78</v>
      </c>
      <c r="L13" s="9">
        <v>90032</v>
      </c>
      <c r="M13" s="9" t="s">
        <v>61</v>
      </c>
      <c r="N13" s="9" t="s">
        <v>97</v>
      </c>
      <c r="O13" s="9" t="s">
        <v>86</v>
      </c>
      <c r="P13" s="9" t="s">
        <v>87</v>
      </c>
      <c r="Q13" s="9" t="s">
        <v>98</v>
      </c>
      <c r="R13" s="9">
        <v>911.42399999999998</v>
      </c>
      <c r="S13" s="9">
        <v>4</v>
      </c>
      <c r="T13" s="5" t="str">
        <f t="shared" si="0"/>
        <v>CA-2014-115812TEC-PH-10002033</v>
      </c>
      <c r="U13" s="9">
        <v>0.2</v>
      </c>
      <c r="V13" s="11">
        <v>68.356800000000021</v>
      </c>
      <c r="W13" t="str">
        <f t="shared" si="1"/>
        <v>no profit</v>
      </c>
      <c r="X13" t="str">
        <f t="shared" si="2"/>
        <v>Jun</v>
      </c>
    </row>
    <row r="14" spans="1:24" x14ac:dyDescent="0.3">
      <c r="A14" s="4">
        <v>13</v>
      </c>
      <c r="B14" s="5" t="s">
        <v>99</v>
      </c>
      <c r="C14" s="6">
        <v>42840</v>
      </c>
      <c r="D14" s="6">
        <v>42845</v>
      </c>
      <c r="E14" s="5" t="s">
        <v>56</v>
      </c>
      <c r="F14" s="5" t="s">
        <v>100</v>
      </c>
      <c r="G14" s="5" t="s">
        <v>101</v>
      </c>
      <c r="H14" s="5" t="s">
        <v>43</v>
      </c>
      <c r="I14" s="5" t="s">
        <v>44</v>
      </c>
      <c r="J14" s="5" t="s">
        <v>102</v>
      </c>
      <c r="K14" s="5" t="s">
        <v>103</v>
      </c>
      <c r="L14" s="5">
        <v>28027</v>
      </c>
      <c r="M14" s="5" t="s">
        <v>47</v>
      </c>
      <c r="N14" s="5" t="s">
        <v>104</v>
      </c>
      <c r="O14" s="5" t="s">
        <v>71</v>
      </c>
      <c r="P14" s="5" t="s">
        <v>105</v>
      </c>
      <c r="Q14" s="5" t="s">
        <v>106</v>
      </c>
      <c r="R14" s="5">
        <v>15.552000000000003</v>
      </c>
      <c r="S14" s="5">
        <v>3</v>
      </c>
      <c r="T14" s="5" t="str">
        <f t="shared" si="0"/>
        <v>CA-2017-114412OFF-PA-10002365</v>
      </c>
      <c r="U14" s="5">
        <v>0.2</v>
      </c>
      <c r="V14" s="7">
        <v>5.4432</v>
      </c>
      <c r="W14" t="str">
        <f t="shared" si="1"/>
        <v>no profit</v>
      </c>
      <c r="X14" t="str">
        <f t="shared" si="2"/>
        <v>Apr</v>
      </c>
    </row>
    <row r="15" spans="1:24" x14ac:dyDescent="0.3">
      <c r="A15" s="8">
        <v>14</v>
      </c>
      <c r="B15" s="9" t="s">
        <v>107</v>
      </c>
      <c r="C15" s="10">
        <v>42709</v>
      </c>
      <c r="D15" s="10">
        <v>42714</v>
      </c>
      <c r="E15" s="9" t="s">
        <v>56</v>
      </c>
      <c r="F15" s="9" t="s">
        <v>108</v>
      </c>
      <c r="G15" s="9" t="s">
        <v>109</v>
      </c>
      <c r="H15" s="9" t="s">
        <v>43</v>
      </c>
      <c r="I15" s="9" t="s">
        <v>44</v>
      </c>
      <c r="J15" s="9" t="s">
        <v>110</v>
      </c>
      <c r="K15" s="9" t="s">
        <v>111</v>
      </c>
      <c r="L15" s="9">
        <v>98103</v>
      </c>
      <c r="M15" s="9" t="s">
        <v>61</v>
      </c>
      <c r="N15" s="9" t="s">
        <v>112</v>
      </c>
      <c r="O15" s="9" t="s">
        <v>71</v>
      </c>
      <c r="P15" s="9" t="s">
        <v>90</v>
      </c>
      <c r="Q15" s="9" t="s">
        <v>113</v>
      </c>
      <c r="R15" s="9">
        <v>407.97600000000006</v>
      </c>
      <c r="S15" s="9">
        <v>3</v>
      </c>
      <c r="T15" s="5" t="str">
        <f t="shared" si="0"/>
        <v>CA-2016-161389OFF-BI-10003656</v>
      </c>
      <c r="U15" s="9">
        <v>0.2</v>
      </c>
      <c r="V15" s="11">
        <v>132.59219999999993</v>
      </c>
      <c r="W15" t="str">
        <f t="shared" si="1"/>
        <v>no profit</v>
      </c>
      <c r="X15" t="str">
        <f t="shared" si="2"/>
        <v>Dec</v>
      </c>
    </row>
    <row r="16" spans="1:24" x14ac:dyDescent="0.3">
      <c r="A16" s="4">
        <v>24</v>
      </c>
      <c r="B16" s="5" t="s">
        <v>114</v>
      </c>
      <c r="C16" s="6">
        <v>42932</v>
      </c>
      <c r="D16" s="6">
        <v>42934</v>
      </c>
      <c r="E16" s="5" t="s">
        <v>40</v>
      </c>
      <c r="F16" s="5" t="s">
        <v>115</v>
      </c>
      <c r="G16" s="5" t="s">
        <v>116</v>
      </c>
      <c r="H16" s="5" t="s">
        <v>43</v>
      </c>
      <c r="I16" s="5" t="s">
        <v>44</v>
      </c>
      <c r="J16" s="5" t="s">
        <v>117</v>
      </c>
      <c r="K16" s="5" t="s">
        <v>118</v>
      </c>
      <c r="L16" s="5">
        <v>19140</v>
      </c>
      <c r="M16" s="5" t="s">
        <v>119</v>
      </c>
      <c r="N16" s="5" t="s">
        <v>120</v>
      </c>
      <c r="O16" s="5" t="s">
        <v>49</v>
      </c>
      <c r="P16" s="5" t="s">
        <v>53</v>
      </c>
      <c r="Q16" s="5" t="s">
        <v>121</v>
      </c>
      <c r="R16" s="5">
        <v>71.371999999999986</v>
      </c>
      <c r="S16" s="5">
        <v>2</v>
      </c>
      <c r="T16" s="5" t="str">
        <f t="shared" si="0"/>
        <v>US-2017-156909FUR-CH-10002774</v>
      </c>
      <c r="U16" s="5">
        <v>0.3</v>
      </c>
      <c r="V16" s="7">
        <v>-1.0196000000000005</v>
      </c>
      <c r="W16" t="str">
        <f t="shared" si="1"/>
        <v>no profit</v>
      </c>
      <c r="X16" t="str">
        <f t="shared" si="2"/>
        <v>Jul</v>
      </c>
    </row>
    <row r="17" spans="1:24" x14ac:dyDescent="0.3">
      <c r="A17" s="8">
        <v>21</v>
      </c>
      <c r="B17" s="9" t="s">
        <v>122</v>
      </c>
      <c r="C17" s="10">
        <v>41878</v>
      </c>
      <c r="D17" s="10">
        <v>41883</v>
      </c>
      <c r="E17" s="9" t="s">
        <v>40</v>
      </c>
      <c r="F17" s="9" t="s">
        <v>123</v>
      </c>
      <c r="G17" s="9" t="s">
        <v>124</v>
      </c>
      <c r="H17" s="9" t="s">
        <v>43</v>
      </c>
      <c r="I17" s="9" t="s">
        <v>44</v>
      </c>
      <c r="J17" s="9" t="s">
        <v>125</v>
      </c>
      <c r="K17" s="9" t="s">
        <v>78</v>
      </c>
      <c r="L17" s="9">
        <v>94109</v>
      </c>
      <c r="M17" s="9" t="s">
        <v>61</v>
      </c>
      <c r="N17" s="9" t="s">
        <v>126</v>
      </c>
      <c r="O17" s="9" t="s">
        <v>71</v>
      </c>
      <c r="P17" s="9" t="s">
        <v>90</v>
      </c>
      <c r="Q17" s="9" t="s">
        <v>127</v>
      </c>
      <c r="R17" s="9">
        <v>22.72</v>
      </c>
      <c r="S17" s="9">
        <v>4</v>
      </c>
      <c r="T17" s="5" t="str">
        <f t="shared" si="0"/>
        <v>CA-2014-143336OFF-BI-10002215</v>
      </c>
      <c r="U17" s="9">
        <v>0.2</v>
      </c>
      <c r="V17" s="11">
        <v>7.3839999999999986</v>
      </c>
      <c r="W17" t="str">
        <f t="shared" si="1"/>
        <v>no profit</v>
      </c>
      <c r="X17" t="str">
        <f t="shared" si="2"/>
        <v>Aug</v>
      </c>
    </row>
    <row r="18" spans="1:24" x14ac:dyDescent="0.3">
      <c r="A18" s="4">
        <v>17</v>
      </c>
      <c r="B18" s="5" t="s">
        <v>128</v>
      </c>
      <c r="C18" s="6">
        <v>41954</v>
      </c>
      <c r="D18" s="6">
        <v>41961</v>
      </c>
      <c r="E18" s="5" t="s">
        <v>56</v>
      </c>
      <c r="F18" s="5" t="s">
        <v>129</v>
      </c>
      <c r="G18" s="5" t="s">
        <v>130</v>
      </c>
      <c r="H18" s="5" t="s">
        <v>43</v>
      </c>
      <c r="I18" s="5" t="s">
        <v>44</v>
      </c>
      <c r="J18" s="5" t="s">
        <v>131</v>
      </c>
      <c r="K18" s="5" t="s">
        <v>132</v>
      </c>
      <c r="L18" s="5">
        <v>53711</v>
      </c>
      <c r="M18" s="5" t="s">
        <v>133</v>
      </c>
      <c r="N18" s="5" t="s">
        <v>134</v>
      </c>
      <c r="O18" s="5" t="s">
        <v>71</v>
      </c>
      <c r="P18" s="5" t="s">
        <v>72</v>
      </c>
      <c r="Q18" s="5" t="s">
        <v>135</v>
      </c>
      <c r="R18" s="5">
        <v>665.88</v>
      </c>
      <c r="S18" s="5">
        <v>6</v>
      </c>
      <c r="T18" s="5" t="str">
        <f t="shared" si="0"/>
        <v>CA-2014-105893OFF-ST-10004186</v>
      </c>
      <c r="U18" s="5">
        <v>0</v>
      </c>
      <c r="V18" s="7">
        <v>13.317599999999999</v>
      </c>
      <c r="W18">
        <f t="shared" si="1"/>
        <v>13.317599999999999</v>
      </c>
      <c r="X18" t="str">
        <f t="shared" si="2"/>
        <v>Nov</v>
      </c>
    </row>
    <row r="19" spans="1:24" x14ac:dyDescent="0.3">
      <c r="A19" s="8">
        <v>18</v>
      </c>
      <c r="B19" s="9" t="s">
        <v>136</v>
      </c>
      <c r="C19" s="10">
        <v>41772</v>
      </c>
      <c r="D19" s="10">
        <v>41774</v>
      </c>
      <c r="E19" s="9" t="s">
        <v>40</v>
      </c>
      <c r="F19" s="9" t="s">
        <v>137</v>
      </c>
      <c r="G19" s="9" t="s">
        <v>138</v>
      </c>
      <c r="H19" s="9" t="s">
        <v>43</v>
      </c>
      <c r="I19" s="9" t="s">
        <v>44</v>
      </c>
      <c r="J19" s="9" t="s">
        <v>139</v>
      </c>
      <c r="K19" s="9" t="s">
        <v>60</v>
      </c>
      <c r="L19" s="9">
        <v>84084</v>
      </c>
      <c r="M19" s="9" t="s">
        <v>61</v>
      </c>
      <c r="N19" s="9" t="s">
        <v>140</v>
      </c>
      <c r="O19" s="9" t="s">
        <v>71</v>
      </c>
      <c r="P19" s="9" t="s">
        <v>72</v>
      </c>
      <c r="Q19" s="9" t="s">
        <v>141</v>
      </c>
      <c r="R19" s="9">
        <v>55.5</v>
      </c>
      <c r="S19" s="9">
        <v>2</v>
      </c>
      <c r="T19" s="5" t="str">
        <f t="shared" si="0"/>
        <v>CA-2014-167164OFF-ST-10000107</v>
      </c>
      <c r="U19" s="9">
        <v>0</v>
      </c>
      <c r="V19" s="11">
        <v>9.9899999999999949</v>
      </c>
      <c r="W19" t="str">
        <f t="shared" si="1"/>
        <v>no profit</v>
      </c>
      <c r="X19" t="str">
        <f t="shared" si="2"/>
        <v>May</v>
      </c>
    </row>
    <row r="20" spans="1:24" x14ac:dyDescent="0.3">
      <c r="A20" s="4">
        <v>19</v>
      </c>
      <c r="B20" s="5" t="s">
        <v>122</v>
      </c>
      <c r="C20" s="6">
        <v>41878</v>
      </c>
      <c r="D20" s="6">
        <v>41883</v>
      </c>
      <c r="E20" s="5" t="s">
        <v>40</v>
      </c>
      <c r="F20" s="5" t="s">
        <v>123</v>
      </c>
      <c r="G20" s="5" t="s">
        <v>124</v>
      </c>
      <c r="H20" s="5" t="s">
        <v>43</v>
      </c>
      <c r="I20" s="5" t="s">
        <v>44</v>
      </c>
      <c r="J20" s="5" t="s">
        <v>125</v>
      </c>
      <c r="K20" s="5" t="s">
        <v>78</v>
      </c>
      <c r="L20" s="5">
        <v>94109</v>
      </c>
      <c r="M20" s="5" t="s">
        <v>61</v>
      </c>
      <c r="N20" s="5" t="s">
        <v>142</v>
      </c>
      <c r="O20" s="5" t="s">
        <v>71</v>
      </c>
      <c r="P20" s="5" t="s">
        <v>83</v>
      </c>
      <c r="Q20" s="5" t="s">
        <v>143</v>
      </c>
      <c r="R20" s="5">
        <v>8.56</v>
      </c>
      <c r="S20" s="5">
        <v>2</v>
      </c>
      <c r="T20" s="5" t="str">
        <f t="shared" si="0"/>
        <v>CA-2014-143336OFF-AR-10003056</v>
      </c>
      <c r="U20" s="5">
        <v>0</v>
      </c>
      <c r="V20" s="7">
        <v>2.4823999999999993</v>
      </c>
      <c r="W20" t="str">
        <f t="shared" si="1"/>
        <v>no profit</v>
      </c>
      <c r="X20" t="str">
        <f t="shared" si="2"/>
        <v>Aug</v>
      </c>
    </row>
    <row r="21" spans="1:24" x14ac:dyDescent="0.3">
      <c r="A21" s="8">
        <v>20</v>
      </c>
      <c r="B21" s="9" t="s">
        <v>122</v>
      </c>
      <c r="C21" s="10">
        <v>41878</v>
      </c>
      <c r="D21" s="10">
        <v>41883</v>
      </c>
      <c r="E21" s="9" t="s">
        <v>40</v>
      </c>
      <c r="F21" s="9" t="s">
        <v>123</v>
      </c>
      <c r="G21" s="9" t="s">
        <v>124</v>
      </c>
      <c r="H21" s="9" t="s">
        <v>43</v>
      </c>
      <c r="I21" s="9" t="s">
        <v>44</v>
      </c>
      <c r="J21" s="9" t="s">
        <v>125</v>
      </c>
      <c r="K21" s="9" t="s">
        <v>78</v>
      </c>
      <c r="L21" s="9">
        <v>94109</v>
      </c>
      <c r="M21" s="9" t="s">
        <v>61</v>
      </c>
      <c r="N21" s="9" t="s">
        <v>144</v>
      </c>
      <c r="O21" s="9" t="s">
        <v>86</v>
      </c>
      <c r="P21" s="9" t="s">
        <v>87</v>
      </c>
      <c r="Q21" s="9" t="s">
        <v>145</v>
      </c>
      <c r="R21" s="9">
        <v>213.48000000000002</v>
      </c>
      <c r="S21" s="9">
        <v>3</v>
      </c>
      <c r="T21" s="5" t="str">
        <f t="shared" si="0"/>
        <v>CA-2014-143336TEC-PH-10001949</v>
      </c>
      <c r="U21" s="9">
        <v>0.2</v>
      </c>
      <c r="V21" s="11">
        <v>16.010999999999981</v>
      </c>
      <c r="W21" t="str">
        <f t="shared" si="1"/>
        <v>no profit</v>
      </c>
      <c r="X21" t="str">
        <f t="shared" si="2"/>
        <v>Aug</v>
      </c>
    </row>
    <row r="22" spans="1:24" x14ac:dyDescent="0.3">
      <c r="T22" s="5" t="str">
        <f t="shared" si="0"/>
        <v/>
      </c>
      <c r="W22" t="str">
        <f t="shared" ref="W22" si="3">IF(S21&gt;5,V21,"")</f>
        <v/>
      </c>
    </row>
    <row r="24" spans="1:24" x14ac:dyDescent="0.3">
      <c r="H24" s="12" t="s">
        <v>6</v>
      </c>
      <c r="I24" s="12" t="s">
        <v>152</v>
      </c>
      <c r="J24" s="12"/>
      <c r="K24" s="12"/>
      <c r="L24" s="12"/>
      <c r="M24" s="12"/>
      <c r="N24" s="12"/>
      <c r="O24" s="12"/>
      <c r="P24" s="12" t="s">
        <v>48</v>
      </c>
      <c r="Q24" s="12" t="s">
        <v>160</v>
      </c>
    </row>
    <row r="25" spans="1:24" x14ac:dyDescent="0.3">
      <c r="H25" s="12" t="s">
        <v>13</v>
      </c>
      <c r="I25" s="12" t="s">
        <v>153</v>
      </c>
      <c r="J25" s="12"/>
      <c r="K25" s="12"/>
      <c r="L25" s="12"/>
      <c r="M25" s="12"/>
      <c r="N25" s="12"/>
      <c r="O25" s="12"/>
      <c r="P25" s="12"/>
      <c r="Q25" s="12"/>
    </row>
    <row r="26" spans="1:24" x14ac:dyDescent="0.3">
      <c r="H26" s="12" t="s">
        <v>14</v>
      </c>
      <c r="I26" s="12" t="s">
        <v>154</v>
      </c>
      <c r="J26" s="12"/>
      <c r="K26" s="12"/>
      <c r="L26" s="12"/>
      <c r="M26" s="12"/>
      <c r="N26" s="12"/>
      <c r="O26" s="12" t="s">
        <v>163</v>
      </c>
      <c r="P26" s="16" t="s">
        <v>164</v>
      </c>
      <c r="Q26" s="16"/>
      <c r="R26" s="16"/>
      <c r="S26" s="16"/>
    </row>
    <row r="27" spans="1:24" x14ac:dyDescent="0.3">
      <c r="P27" s="16" t="s">
        <v>165</v>
      </c>
      <c r="Q27" s="16"/>
      <c r="R27" s="16"/>
      <c r="S27" s="16"/>
    </row>
    <row r="28" spans="1:24" x14ac:dyDescent="0.3">
      <c r="H28" s="12" t="s">
        <v>146</v>
      </c>
      <c r="T28" s="5"/>
    </row>
    <row r="29" spans="1:24" x14ac:dyDescent="0.3">
      <c r="Q29" s="5"/>
    </row>
    <row r="30" spans="1:24" x14ac:dyDescent="0.3">
      <c r="H30" s="12" t="s">
        <v>6</v>
      </c>
      <c r="I30" s="12" t="s">
        <v>155</v>
      </c>
      <c r="J30" s="12"/>
      <c r="K30" s="12"/>
      <c r="L30" s="12"/>
      <c r="M30" s="12"/>
    </row>
    <row r="31" spans="1:24" x14ac:dyDescent="0.3">
      <c r="H31" s="12"/>
      <c r="I31" s="12" t="s">
        <v>147</v>
      </c>
      <c r="J31" s="12"/>
      <c r="K31" s="12"/>
      <c r="L31" s="12"/>
      <c r="M31" s="12"/>
    </row>
    <row r="32" spans="1:24" x14ac:dyDescent="0.3">
      <c r="H32" s="12" t="s">
        <v>13</v>
      </c>
      <c r="I32" s="12" t="s">
        <v>156</v>
      </c>
      <c r="J32" s="12"/>
      <c r="K32" s="12"/>
      <c r="L32" s="12"/>
      <c r="M32" s="12"/>
    </row>
    <row r="33" spans="3:13" x14ac:dyDescent="0.3">
      <c r="H33" s="12" t="s">
        <v>14</v>
      </c>
      <c r="I33" s="12" t="s">
        <v>157</v>
      </c>
      <c r="J33" s="12"/>
      <c r="K33" s="12"/>
      <c r="L33" s="12"/>
      <c r="M33" s="12"/>
    </row>
    <row r="34" spans="3:13" x14ac:dyDescent="0.3">
      <c r="E34" t="s">
        <v>149</v>
      </c>
      <c r="G34" t="s">
        <v>148</v>
      </c>
      <c r="H34" s="12" t="s">
        <v>15</v>
      </c>
      <c r="I34" s="12" t="s">
        <v>158</v>
      </c>
      <c r="J34" s="12"/>
      <c r="K34" s="12"/>
      <c r="L34" s="12"/>
      <c r="M34" s="12"/>
    </row>
    <row r="35" spans="3:13" x14ac:dyDescent="0.3">
      <c r="H35" s="12"/>
      <c r="I35" s="12"/>
      <c r="J35" s="12"/>
      <c r="K35" s="12"/>
      <c r="L35" s="12"/>
      <c r="M35" s="12"/>
    </row>
    <row r="36" spans="3:13" x14ac:dyDescent="0.3">
      <c r="E36" s="13" t="s">
        <v>150</v>
      </c>
      <c r="G36" t="s">
        <v>151</v>
      </c>
      <c r="H36" s="12" t="s">
        <v>16</v>
      </c>
      <c r="I36" s="12" t="s">
        <v>159</v>
      </c>
      <c r="J36" s="12"/>
      <c r="K36" s="12"/>
      <c r="L36" s="12"/>
      <c r="M36" s="12"/>
    </row>
    <row r="39" spans="3:13" x14ac:dyDescent="0.3">
      <c r="C39" t="s">
        <v>6</v>
      </c>
      <c r="D39" s="12" t="s">
        <v>155</v>
      </c>
    </row>
    <row r="55" spans="3:4" x14ac:dyDescent="0.3">
      <c r="C55" t="s">
        <v>13</v>
      </c>
      <c r="D55" s="12" t="s">
        <v>156</v>
      </c>
    </row>
    <row r="73" spans="3:4" x14ac:dyDescent="0.3">
      <c r="C73" t="s">
        <v>14</v>
      </c>
      <c r="D73" s="12" t="s">
        <v>157</v>
      </c>
    </row>
    <row r="94" spans="3:4" x14ac:dyDescent="0.3">
      <c r="C94" t="s">
        <v>15</v>
      </c>
      <c r="D94" s="1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Ques1</vt:lpstr>
      <vt:lpstr>Sheet1</vt:lpstr>
      <vt:lpstr>Hlookup Questions</vt:lpstr>
      <vt:lpstr>Vlookup+pivot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Rohan Lande</cp:lastModifiedBy>
  <dcterms:created xsi:type="dcterms:W3CDTF">2024-06-19T10:11:59Z</dcterms:created>
  <dcterms:modified xsi:type="dcterms:W3CDTF">2025-11-26T14:12:46Z</dcterms:modified>
</cp:coreProperties>
</file>